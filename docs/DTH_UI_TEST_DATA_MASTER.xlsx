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UONG_DAN" sheetId="1" state="visible" r:id="rId1"/>
    <sheet xmlns:r="http://schemas.openxmlformats.org/officeDocument/2006/relationships" name="01_CAU_HINH_FORM" sheetId="2" state="visible" r:id="rId2"/>
    <sheet xmlns:r="http://schemas.openxmlformats.org/officeDocument/2006/relationships" name="02_DU_LIEU_FORM" sheetId="3" state="visible" r:id="rId3"/>
    <sheet xmlns:r="http://schemas.openxmlformats.org/officeDocument/2006/relationships" name="03_PHAN_PHOI" sheetId="4" state="visible" r:id="rId4"/>
    <sheet xmlns:r="http://schemas.openxmlformats.org/officeDocument/2006/relationships" name="04_QUALIFICATION" sheetId="5" state="visible" r:id="rId5"/>
    <sheet xmlns:r="http://schemas.openxmlformats.org/officeDocument/2006/relationships" name="05_OPPORTUNITY_QUOTE" sheetId="6" state="visible" r:id="rId6"/>
    <sheet xmlns:r="http://schemas.openxmlformats.org/officeDocument/2006/relationships" name="06_DOI_SOAT" sheetId="7" state="visible" r:id="rId7"/>
    <sheet xmlns:r="http://schemas.openxmlformats.org/officeDocument/2006/relationships" name="07_RESET" sheetId="8" state="visible" r:id="rId8"/>
  </sheets>
  <definedNames>
    <definedName name="_xlnm._FilterDatabase" localSheetId="1" hidden="1">'01_CAU_HINH_FORM'!$A$3:$I$22</definedName>
    <definedName name="_xlnm._FilterDatabase" localSheetId="2" hidden="1">'02_DU_LIEU_FORM'!$A$3:$R$9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 &quot;VND&quot;"/>
  </numFmts>
  <fonts count="12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7365D"/>
    </font>
    <font>
      <b val="1"/>
      <color rgb="0017365D"/>
      <sz val="11"/>
    </font>
    <font>
      <color rgb="000000FF"/>
    </font>
    <font>
      <b val="1"/>
      <color rgb="00FFFFFF"/>
      <sz val="10"/>
    </font>
    <font>
      <color rgb="00666666"/>
      <sz val="10"/>
    </font>
    <font>
      <color rgb="000000FF"/>
      <sz val="10"/>
    </font>
    <font>
      <color rgb="00000000"/>
      <sz val="10"/>
    </font>
    <font>
      <b val="1"/>
      <color rgb="00000000"/>
    </font>
    <font>
      <color rgb="00666666"/>
    </font>
    <font>
      <b val="1"/>
      <color rgb="009C0006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DEBF7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F4CCCC"/>
      </patternFill>
    </fill>
  </fills>
  <borders count="4">
    <border>
      <left/>
      <right/>
      <top/>
      <bottom/>
      <diagonal/>
    </border>
    <border>
      <bottom style="thin">
        <color rgb="00D9E1F2"/>
      </bottom>
    </border>
    <border>
      <bottom style="medium">
        <color rgb="0017365D"/>
      </bottom>
    </border>
    <border>
      <top style="thin">
        <color rgb="00D9E1F2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0" fontId="3" fillId="5" borderId="0" applyAlignment="1" pivotButton="0" quotePrefix="0" xfId="0">
      <alignment vertical="center"/>
    </xf>
    <xf numFmtId="0" fontId="0" fillId="0" borderId="1" applyAlignment="1" pivotButton="0" quotePrefix="0" xfId="0">
      <alignment wrapText="1"/>
    </xf>
    <xf numFmtId="0" fontId="5" fillId="2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 wrapText="1"/>
    </xf>
    <xf numFmtId="165" fontId="7" fillId="0" borderId="1" applyAlignment="1" pivotButton="0" quotePrefix="0" xfId="0">
      <alignment vertical="top" wrapText="1"/>
    </xf>
    <xf numFmtId="165" fontId="8" fillId="0" borderId="1" applyAlignment="1" pivotButton="0" quotePrefix="0" xfId="0">
      <alignment vertical="top" wrapText="1"/>
    </xf>
    <xf numFmtId="0" fontId="2" fillId="0" borderId="3" pivotButton="0" quotePrefix="0" xfId="0"/>
    <xf numFmtId="165" fontId="9" fillId="0" borderId="3" pivotButton="0" quotePrefix="0" xfId="0"/>
    <xf numFmtId="0" fontId="3" fillId="6" borderId="0" applyAlignment="1" pivotButton="0" quotePrefix="0" xfId="0">
      <alignment vertical="center"/>
    </xf>
    <xf numFmtId="0" fontId="3" fillId="7" borderId="0" applyAlignment="1" pivotButton="0" quotePrefix="0" xfId="0">
      <alignment vertical="center"/>
    </xf>
    <xf numFmtId="0" fontId="2" fillId="0" borderId="1" pivotButton="0" quotePrefix="0" xfId="0"/>
    <xf numFmtId="0" fontId="10" fillId="0" borderId="1" pivotButton="0" quotePrefix="0" xfId="0"/>
    <xf numFmtId="0" fontId="3" fillId="8" borderId="0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OpenAI</author>
  </authors>
  <commentList>
    <comment ref="C6" authorId="0" shapeId="0">
      <text>
        <t>Đổi mã này để tạo alias email mới cho một vòng test khác.</t>
      </text>
    </comment>
    <comment ref="C7" authorId="0" shapeId="0">
      <text>
        <t>Phải thay bằng email bạn kiểm soát trước khi test gửi báo giá/email.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8" customWidth="1" min="3" max="3"/>
    <col width="52" customWidth="1" min="4" max="4"/>
  </cols>
  <sheetData>
    <row r="1" ht="28" customHeight="1">
      <c r="A1" s="1" t="inlineStr">
        <is>
          <t>DTH BUSINESS CORE - BỘ DỮ LIỆU KIỂM THỬ UI XUYÊN SUỐT</t>
        </is>
      </c>
    </row>
    <row r="2"/>
    <row r="3">
      <c r="A3" s="2" t="inlineStr">
        <is>
          <t>Mục tiêu</t>
        </is>
      </c>
      <c r="B3" s="3" t="inlineStr">
        <is>
          <t>Dùng một bộ dữ liệu nhất quán từ Landing Page → Submission → Lead → Phân phối → Qualification → Opportunity → Quotation → Payment → Customer.</t>
        </is>
      </c>
    </row>
    <row r="4"/>
    <row r="5" ht="22" customHeight="1">
      <c r="A5" s="4" t="inlineStr">
        <is>
          <t>THÔNG SỐ ĐỢT KIỂM THỬ - CHỈ SỬA CÁC Ô MÀU XANH</t>
        </is>
      </c>
    </row>
    <row r="6" ht="38" customHeight="1">
      <c r="A6" s="5" t="n">
        <v>1</v>
      </c>
      <c r="B6" s="6" t="inlineStr">
        <is>
          <t>Mã đợt test</t>
        </is>
      </c>
      <c r="C6" s="7" t="inlineStr">
        <is>
          <t>UITEST-HOSTING-01</t>
        </is>
      </c>
      <c r="D6" s="5" t="inlineStr">
        <is>
          <t>Đổi mã này mỗi lần muốn tạo lại dữ liệu mà không xóa batch cũ.</t>
        </is>
      </c>
    </row>
    <row r="7" ht="38" customHeight="1">
      <c r="A7" s="5" t="n">
        <v>2</v>
      </c>
      <c r="B7" s="6" t="inlineStr">
        <is>
          <t>Email nhận thư thực tế</t>
        </is>
      </c>
      <c r="C7" s="7" t="inlineStr">
        <is>
          <t>your.email@gmail.com</t>
        </is>
      </c>
      <c r="D7" s="5" t="inlineStr">
        <is>
          <t>Thay bằng email bạn kiểm soát. Workbook tự tạo plus-alias cho từng nhân vật. Nếu nhà cung cấp không hỗ trợ dấu +, nhập email riêng trực tiếp ở sheet 02.</t>
        </is>
      </c>
    </row>
    <row r="8" ht="38" customHeight="1">
      <c r="A8" s="5" t="n">
        <v>3</v>
      </c>
      <c r="B8" s="6" t="inlineStr">
        <is>
          <t>Ngày bắt đầu đợt test</t>
        </is>
      </c>
      <c r="C8" s="8">
        <f>TODAY()</f>
        <v/>
      </c>
      <c r="D8" s="5" t="inlineStr">
        <is>
          <t>Các ngày triển khai, đóng cơ hội, báo giá và thanh toán được tính tương đối từ ngày này.</t>
        </is>
      </c>
    </row>
    <row r="9" ht="38" customHeight="1">
      <c r="A9" s="5" t="n">
        <v>4</v>
      </c>
      <c r="B9" s="6" t="inlineStr">
        <is>
          <t>Mã số thuế Company test</t>
        </is>
      </c>
      <c r="C9" s="7" t="inlineStr">
        <is>
          <t>9999999999</t>
        </is>
      </c>
      <c r="D9" s="5" t="inlineStr">
        <is>
          <t>Chỉ dùng cho dữ liệu test. Lệnh reset mặc định nhận diện MST này.</t>
        </is>
      </c>
    </row>
    <row r="10" ht="38" customHeight="1">
      <c r="A10" s="5" t="n">
        <v>5</v>
      </c>
      <c r="B10" s="6" t="inlineStr">
        <is>
          <t>Tên Company test</t>
        </is>
      </c>
      <c r="C10" s="7" t="inlineStr">
        <is>
          <t>Công ty TNHH Giải pháp Số Minh Phát - TEST</t>
        </is>
      </c>
      <c r="D10" s="5" t="inlineStr">
        <is>
          <t>Giữ nguyên để kiểm tra chống trùng Company.</t>
        </is>
      </c>
    </row>
    <row r="11" ht="38" customHeight="1">
      <c r="A11" s="5" t="n">
        <v>6</v>
      </c>
      <c r="B11" s="6" t="inlineStr">
        <is>
          <t>Landing Page</t>
        </is>
      </c>
      <c r="C11" s="7" t="inlineStr">
        <is>
          <t>Giới thiệu dịch vụ Hosting</t>
        </is>
      </c>
      <c r="D11" s="5" t="inlineStr">
        <is>
          <t>Landing Page đã có sẵn.</t>
        </is>
      </c>
    </row>
    <row r="12" ht="38" customHeight="1">
      <c r="A12" s="5" t="n">
        <v>7</v>
      </c>
      <c r="B12" s="6" t="inlineStr">
        <is>
          <t>Ads Campaign</t>
        </is>
      </c>
      <c r="C12" s="7" t="inlineStr">
        <is>
          <t>Chiến dịch Hosting Siêu Tốc Q3/2026</t>
        </is>
      </c>
      <c r="D12" s="5" t="inlineStr">
        <is>
          <t>Chiến dịch đã có sẵn.</t>
        </is>
      </c>
    </row>
    <row r="13"/>
    <row r="14" ht="22" customHeight="1">
      <c r="A14" s="9" t="inlineStr">
        <is>
          <t>QUY TẮC SỬ DỤNG</t>
        </is>
      </c>
    </row>
    <row r="15" ht="30" customHeight="1">
      <c r="A15" t="inlineStr">
        <is>
          <t>1</t>
        </is>
      </c>
      <c r="B15" s="10" t="inlineStr">
        <is>
          <t>Luôn chạy sheet 07_RESET ở chế độ dry-run trước khi xóa thật.</t>
        </is>
      </c>
    </row>
    <row r="16" ht="30" customHeight="1">
      <c r="A16" t="inlineStr">
        <is>
          <t>2</t>
        </is>
      </c>
      <c r="B16" s="10" t="inlineStr">
        <is>
          <t>Bộ A là Golden Path chính; tiếp tục dùng cùng Lead này cho Qualification, Opportunity, Quotation, Payment và Customer.</t>
        </is>
      </c>
    </row>
    <row r="17" ht="30" customHeight="1">
      <c r="A17" t="inlineStr">
        <is>
          <t>3</t>
        </is>
      </c>
      <c r="B17" s="10" t="inlineStr">
        <is>
          <t>Bộ C dùng kiểm tra hai người cùng Company và nguyên tắc Account Owner.</t>
        </is>
      </c>
    </row>
    <row r="18" ht="30" customHeight="1">
      <c r="A18" t="inlineStr">
        <is>
          <t>4</t>
        </is>
      </c>
      <c r="B18" s="10" t="inlineStr">
        <is>
          <t>Bộ F dùng kiểm tra cùng Contact gửi nhu cầu mới; Contact không được nhân đôi và Lead cũ không bị ghi đè.</t>
        </is>
      </c>
    </row>
    <row r="19" ht="30" customHeight="1">
      <c r="A19" t="inlineStr">
        <is>
          <t>5</t>
        </is>
      </c>
      <c r="B19" s="10" t="inlineStr">
        <is>
          <t>Submission là bản gốc; không sửa câu trả lời cũ sau khi khách gửi.</t>
        </is>
      </c>
    </row>
    <row r="20" ht="30" customHeight="1">
      <c r="A20" t="inlineStr">
        <is>
          <t>6</t>
        </is>
      </c>
      <c r="B20" s="10" t="inlineStr">
        <is>
          <t>Đổi Mã đợt test ở ô C6 để sinh email alias mới khi cần chạy lại mà không reset.</t>
        </is>
      </c>
    </row>
  </sheetData>
  <mergeCells count="9">
    <mergeCell ref="A1:D1"/>
    <mergeCell ref="A5:D5"/>
    <mergeCell ref="B19:D19"/>
    <mergeCell ref="B20:D20"/>
    <mergeCell ref="B17:D17"/>
    <mergeCell ref="B18:D18"/>
    <mergeCell ref="B15:D15"/>
    <mergeCell ref="B16:D16"/>
    <mergeCell ref="A14:D14"/>
  </mergeCells>
  <pageMargins left="0.3" right="0.3" top="0.45" bottom="0.45" header="0.2" footer="0.2"/>
  <pageSetup orientation="portrait" fitToHeight="0" fitToWidth="1"/>
  <headerFooter>
    <oddHeader/>
    <oddFooter>&amp;CDTH Business Core - UI Test Data Master&amp;RTrang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24" customWidth="1" min="3" max="3"/>
    <col width="18" customWidth="1" min="4" max="4"/>
    <col width="13" customWidth="1" min="5" max="5"/>
    <col width="30" customWidth="1" min="6" max="6"/>
    <col width="46" customWidth="1" min="7" max="7"/>
    <col width="35" customWidth="1" min="8" max="8"/>
    <col width="30" customWidth="1" min="9" max="9"/>
  </cols>
  <sheetData>
    <row r="1" ht="28" customHeight="1">
      <c r="A1" s="1" t="inlineStr">
        <is>
          <t>CẤU HÌNH FORM TEMPLATE CHUẨN CHO LANDING PAGE HOSTING</t>
        </is>
      </c>
    </row>
    <row r="2"/>
    <row r="3" ht="30" customHeight="1">
      <c r="A3" s="11" t="inlineStr">
        <is>
          <t>STT</t>
        </is>
      </c>
      <c r="B3" s="11" t="inlineStr">
        <is>
          <t>Áp dụng</t>
        </is>
      </c>
      <c r="C3" s="11" t="inlineStr">
        <is>
          <t>Nhãn trường</t>
        </is>
      </c>
      <c r="D3" s="11" t="inlineStr">
        <is>
          <t>Khóa field</t>
        </is>
      </c>
      <c r="E3" s="11" t="inlineStr">
        <is>
          <t>Loại</t>
        </is>
      </c>
      <c r="F3" s="11" t="inlineStr">
        <is>
          <t>Bắt buộc</t>
        </is>
      </c>
      <c r="G3" s="11" t="inlineStr">
        <is>
          <t>Nơi lưu dữ liệu</t>
        </is>
      </c>
      <c r="H3" s="11" t="inlineStr">
        <is>
          <t>Validation</t>
        </is>
      </c>
      <c r="I3" s="11" t="inlineStr">
        <is>
          <t>Options / Ghi chú</t>
        </is>
      </c>
    </row>
    <row r="4" ht="42" customHeight="1">
      <c r="A4" s="12" t="n">
        <v>1</v>
      </c>
      <c r="B4" s="13" t="inlineStr">
        <is>
          <t>Cá nhân</t>
        </is>
      </c>
      <c r="C4" s="13" t="inlineStr">
        <is>
          <t>Họ</t>
        </is>
      </c>
      <c r="D4" s="13" t="inlineStr">
        <is>
          <t>first_name</t>
        </is>
      </c>
      <c r="E4" s="13" t="inlineStr">
        <is>
          <t>Văn bản</t>
        </is>
      </c>
      <c r="F4" s="13" t="inlineStr">
        <is>
          <t>Có</t>
        </is>
      </c>
      <c r="G4" s="13" t="inlineStr">
        <is>
          <t>Contact cá nhân → Họ</t>
        </is>
      </c>
      <c r="H4" s="13" t="inlineStr">
        <is>
          <t>required|max:100</t>
        </is>
      </c>
      <c r="I4" s="13" t="inlineStr"/>
    </row>
    <row r="5" ht="42" customHeight="1">
      <c r="A5" s="12" t="n">
        <v>2</v>
      </c>
      <c r="B5" s="13" t="inlineStr">
        <is>
          <t>Cá nhân</t>
        </is>
      </c>
      <c r="C5" s="13" t="inlineStr">
        <is>
          <t>Tên</t>
        </is>
      </c>
      <c r="D5" s="13" t="inlineStr">
        <is>
          <t>last_name</t>
        </is>
      </c>
      <c r="E5" s="13" t="inlineStr">
        <is>
          <t>Văn bản</t>
        </is>
      </c>
      <c r="F5" s="13" t="inlineStr">
        <is>
          <t>Có</t>
        </is>
      </c>
      <c r="G5" s="13" t="inlineStr">
        <is>
          <t>Contact cá nhân → Tên</t>
        </is>
      </c>
      <c r="H5" s="13" t="inlineStr">
        <is>
          <t>required|max:100</t>
        </is>
      </c>
      <c r="I5" s="13" t="inlineStr"/>
    </row>
    <row r="6" ht="42" customHeight="1">
      <c r="A6" s="12" t="n">
        <v>3</v>
      </c>
      <c r="B6" s="13" t="inlineStr">
        <is>
          <t>Cá nhân</t>
        </is>
      </c>
      <c r="C6" s="13" t="inlineStr">
        <is>
          <t>Giới tính</t>
        </is>
      </c>
      <c r="D6" s="13" t="inlineStr">
        <is>
          <t>gender</t>
        </is>
      </c>
      <c r="E6" s="13" t="inlineStr">
        <is>
          <t>Chọn</t>
        </is>
      </c>
      <c r="F6" s="13" t="inlineStr">
        <is>
          <t>Không</t>
        </is>
      </c>
      <c r="G6" s="13" t="inlineStr">
        <is>
          <t>Contact cá nhân → Giới tính</t>
        </is>
      </c>
      <c r="H6" s="13" t="inlineStr"/>
      <c r="I6" s="13" t="inlineStr">
        <is>
          <t>male=Nam; female=Nữ; other=Khác</t>
        </is>
      </c>
    </row>
    <row r="7" ht="42" customHeight="1">
      <c r="A7" s="12" t="n">
        <v>4</v>
      </c>
      <c r="B7" s="13" t="inlineStr">
        <is>
          <t>Cá nhân</t>
        </is>
      </c>
      <c r="C7" s="13" t="inlineStr">
        <is>
          <t>Email cá nhân</t>
        </is>
      </c>
      <c r="D7" s="13" t="inlineStr">
        <is>
          <t>email</t>
        </is>
      </c>
      <c r="E7" s="13" t="inlineStr">
        <is>
          <t>Email</t>
        </is>
      </c>
      <c r="F7" s="13" t="inlineStr">
        <is>
          <t>Có</t>
        </is>
      </c>
      <c r="G7" s="13" t="inlineStr">
        <is>
          <t>Contact cá nhân → Email</t>
        </is>
      </c>
      <c r="H7" s="13" t="inlineStr">
        <is>
          <t>required|email|max:255</t>
        </is>
      </c>
      <c r="I7" s="13" t="inlineStr"/>
    </row>
    <row r="8" ht="42" customHeight="1">
      <c r="A8" s="12" t="n">
        <v>5</v>
      </c>
      <c r="B8" s="13" t="inlineStr">
        <is>
          <t>Cá nhân</t>
        </is>
      </c>
      <c r="C8" s="13" t="inlineStr">
        <is>
          <t>Số điện thoại</t>
        </is>
      </c>
      <c r="D8" s="13" t="inlineStr">
        <is>
          <t>phone</t>
        </is>
      </c>
      <c r="E8" s="13" t="inlineStr">
        <is>
          <t>Điện thoại</t>
        </is>
      </c>
      <c r="F8" s="13" t="inlineStr">
        <is>
          <t>Có</t>
        </is>
      </c>
      <c r="G8" s="13" t="inlineStr">
        <is>
          <t>Contact cá nhân → Số điện thoại</t>
        </is>
      </c>
      <c r="H8" s="13" t="inlineStr">
        <is>
          <t>required|max:30</t>
        </is>
      </c>
      <c r="I8" s="13" t="inlineStr"/>
    </row>
    <row r="9" ht="42" customHeight="1">
      <c r="A9" s="12" t="n">
        <v>6</v>
      </c>
      <c r="B9" s="13" t="inlineStr">
        <is>
          <t>Cá nhân</t>
        </is>
      </c>
      <c r="C9" s="13" t="inlineStr">
        <is>
          <t>Dịch vụ quan tâm</t>
        </is>
      </c>
      <c r="D9" s="13" t="inlineStr">
        <is>
          <t>service_interest</t>
        </is>
      </c>
      <c r="E9" s="13" t="inlineStr">
        <is>
          <t>Chọn</t>
        </is>
      </c>
      <c r="F9" s="13" t="inlineStr">
        <is>
          <t>Có</t>
        </is>
      </c>
      <c r="G9" s="13" t="inlineStr">
        <is>
          <t>Lead → Dịch vụ quan tâm</t>
        </is>
      </c>
      <c r="H9" s="13" t="inlineStr">
        <is>
          <t>required</t>
        </is>
      </c>
      <c r="I9" s="13" t="inlineStr">
        <is>
          <t>hosting_basic=Web Hosting - Bình thường; hosting_pro=Web Hosting - Trung bình; hosting_vip=Web Hosting - Cao cấp</t>
        </is>
      </c>
    </row>
    <row r="10" ht="42" customHeight="1">
      <c r="A10" s="12" t="n">
        <v>7</v>
      </c>
      <c r="B10" s="13" t="inlineStr">
        <is>
          <t>Doanh nghiệp</t>
        </is>
      </c>
      <c r="C10" s="13" t="inlineStr">
        <is>
          <t>Chức vụ</t>
        </is>
      </c>
      <c r="D10" s="13" t="inlineStr">
        <is>
          <t>contact_position</t>
        </is>
      </c>
      <c r="E10" s="13" t="inlineStr">
        <is>
          <t>Chọn</t>
        </is>
      </c>
      <c r="F10" s="13" t="inlineStr">
        <is>
          <t>Có</t>
        </is>
      </c>
      <c r="G10" s="13" t="inlineStr">
        <is>
          <t>Contact doanh nghiệp → Chức vụ</t>
        </is>
      </c>
      <c r="H10" s="13" t="inlineStr">
        <is>
          <t>required|max:150</t>
        </is>
      </c>
      <c r="I10" s="13" t="inlineStr">
        <is>
          <t>it_manager=Trưởng phòng CNTT; director=Giám đốc; chief_accountant=Kế toán trưởng</t>
        </is>
      </c>
    </row>
    <row r="11" ht="42" customHeight="1">
      <c r="A11" s="12" t="n">
        <v>8</v>
      </c>
      <c r="B11" s="13" t="inlineStr">
        <is>
          <t>Doanh nghiệp</t>
        </is>
      </c>
      <c r="C11" s="13" t="inlineStr">
        <is>
          <t>Tên doanh nghiệp</t>
        </is>
      </c>
      <c r="D11" s="13" t="inlineStr">
        <is>
          <t>company_name</t>
        </is>
      </c>
      <c r="E11" s="13" t="inlineStr">
        <is>
          <t>Văn bản</t>
        </is>
      </c>
      <c r="F11" s="13" t="inlineStr">
        <is>
          <t>Có</t>
        </is>
      </c>
      <c r="G11" s="13" t="inlineStr">
        <is>
          <t>Company → Tên pháp lý</t>
        </is>
      </c>
      <c r="H11" s="13" t="inlineStr">
        <is>
          <t>required|max:255</t>
        </is>
      </c>
      <c r="I11" s="13" t="inlineStr"/>
    </row>
    <row r="12" ht="42" customHeight="1">
      <c r="A12" s="12" t="n">
        <v>9</v>
      </c>
      <c r="B12" s="13" t="inlineStr">
        <is>
          <t>Doanh nghiệp</t>
        </is>
      </c>
      <c r="C12" s="13" t="inlineStr">
        <is>
          <t>Mã số thuế</t>
        </is>
      </c>
      <c r="D12" s="13" t="inlineStr">
        <is>
          <t>tax_code</t>
        </is>
      </c>
      <c r="E12" s="13" t="inlineStr">
        <is>
          <t>Văn bản</t>
        </is>
      </c>
      <c r="F12" s="13" t="inlineStr">
        <is>
          <t>Có</t>
        </is>
      </c>
      <c r="G12" s="13" t="inlineStr">
        <is>
          <t>Company → Mã số thuế</t>
        </is>
      </c>
      <c r="H12" s="13" t="inlineStr">
        <is>
          <t>required|max:30</t>
        </is>
      </c>
      <c r="I12" s="13" t="inlineStr"/>
    </row>
    <row r="13" ht="42" customHeight="1">
      <c r="A13" s="12" t="n">
        <v>10</v>
      </c>
      <c r="B13" s="13" t="inlineStr">
        <is>
          <t>Doanh nghiệp</t>
        </is>
      </c>
      <c r="C13" s="13" t="inlineStr">
        <is>
          <t>Người đại diện liên hệ</t>
        </is>
      </c>
      <c r="D13" s="13" t="inlineStr">
        <is>
          <t>legal_representative</t>
        </is>
      </c>
      <c r="E13" s="13" t="inlineStr">
        <is>
          <t>Văn bản</t>
        </is>
      </c>
      <c r="F13" s="13" t="inlineStr">
        <is>
          <t>Có</t>
        </is>
      </c>
      <c r="G13" s="13" t="inlineStr">
        <is>
          <t>Contact doanh nghiệp → Người liên hệ</t>
        </is>
      </c>
      <c r="H13" s="13" t="inlineStr">
        <is>
          <t>required|max:255</t>
        </is>
      </c>
      <c r="I13" s="13" t="inlineStr"/>
    </row>
    <row r="14" ht="42" customHeight="1">
      <c r="A14" s="12" t="n">
        <v>11</v>
      </c>
      <c r="B14" s="13" t="inlineStr">
        <is>
          <t>Doanh nghiệp</t>
        </is>
      </c>
      <c r="C14" s="13" t="inlineStr">
        <is>
          <t>Số điện thoại công ty</t>
        </is>
      </c>
      <c r="D14" s="13" t="inlineStr">
        <is>
          <t>business_phone</t>
        </is>
      </c>
      <c r="E14" s="13" t="inlineStr">
        <is>
          <t>Điện thoại</t>
        </is>
      </c>
      <c r="F14" s="13" t="inlineStr">
        <is>
          <t>Có</t>
        </is>
      </c>
      <c r="G14" s="13" t="inlineStr">
        <is>
          <t>Contact doanh nghiệp → Điện thoại</t>
        </is>
      </c>
      <c r="H14" s="13" t="inlineStr">
        <is>
          <t>required|max:30</t>
        </is>
      </c>
      <c r="I14" s="13" t="inlineStr"/>
    </row>
    <row r="15" ht="42" customHeight="1">
      <c r="A15" s="12" t="n">
        <v>12</v>
      </c>
      <c r="B15" s="13" t="inlineStr">
        <is>
          <t>Doanh nghiệp</t>
        </is>
      </c>
      <c r="C15" s="13" t="inlineStr">
        <is>
          <t>Email doanh nghiệp</t>
        </is>
      </c>
      <c r="D15" s="13" t="inlineStr">
        <is>
          <t>business_email</t>
        </is>
      </c>
      <c r="E15" s="13" t="inlineStr">
        <is>
          <t>Email</t>
        </is>
      </c>
      <c r="F15" s="13" t="inlineStr">
        <is>
          <t>Có</t>
        </is>
      </c>
      <c r="G15" s="13" t="inlineStr">
        <is>
          <t>Contact doanh nghiệp → Email</t>
        </is>
      </c>
      <c r="H15" s="13" t="inlineStr">
        <is>
          <t>required|email|max:255</t>
        </is>
      </c>
      <c r="I15" s="13" t="inlineStr"/>
    </row>
    <row r="16" ht="42" customHeight="1">
      <c r="A16" s="12" t="n">
        <v>13</v>
      </c>
      <c r="B16" s="13" t="inlineStr">
        <is>
          <t>Doanh nghiệp</t>
        </is>
      </c>
      <c r="C16" s="13" t="inlineStr">
        <is>
          <t>Dịch vụ quan tâm</t>
        </is>
      </c>
      <c r="D16" s="13" t="inlineStr">
        <is>
          <t>service_interest</t>
        </is>
      </c>
      <c r="E16" s="13" t="inlineStr">
        <is>
          <t>Chọn</t>
        </is>
      </c>
      <c r="F16" s="13" t="inlineStr">
        <is>
          <t>Có</t>
        </is>
      </c>
      <c r="G16" s="13" t="inlineStr">
        <is>
          <t>Lead → Dịch vụ quan tâm</t>
        </is>
      </c>
      <c r="H16" s="13" t="inlineStr">
        <is>
          <t>required</t>
        </is>
      </c>
      <c r="I16" s="13" t="inlineStr">
        <is>
          <t>hosting_basic=Web Hosting - Bình thường; hosting_pro=Web Hosting - Trung bình; hosting_vip=Web Hosting - Cao cấp</t>
        </is>
      </c>
    </row>
    <row r="17" ht="42" customHeight="1">
      <c r="A17" s="12" t="n">
        <v>14</v>
      </c>
      <c r="B17" s="13" t="inlineStr">
        <is>
          <t>Cả hai</t>
        </is>
      </c>
      <c r="C17" s="13" t="inlineStr">
        <is>
          <t>Số lượng website</t>
        </is>
      </c>
      <c r="D17" s="13" t="inlineStr">
        <is>
          <t>website_count</t>
        </is>
      </c>
      <c r="E17" s="13" t="inlineStr">
        <is>
          <t>Số</t>
        </is>
      </c>
      <c r="F17" s="13" t="inlineStr">
        <is>
          <t>Có</t>
        </is>
      </c>
      <c r="G17" s="13" t="inlineStr">
        <is>
          <t>Chỉ Submission + Lead snapshot</t>
        </is>
      </c>
      <c r="H17" s="13" t="inlineStr">
        <is>
          <t>integer|min:1|max:1000</t>
        </is>
      </c>
      <c r="I17" s="13" t="inlineStr"/>
    </row>
    <row r="18" ht="42" customHeight="1">
      <c r="A18" s="12" t="n">
        <v>15</v>
      </c>
      <c r="B18" s="13" t="inlineStr">
        <is>
          <t>Cả hai</t>
        </is>
      </c>
      <c r="C18" s="13" t="inlineStr">
        <is>
          <t>Nhà cung cấp hiện tại</t>
        </is>
      </c>
      <c r="D18" s="13" t="inlineStr">
        <is>
          <t>current_provider</t>
        </is>
      </c>
      <c r="E18" s="13" t="inlineStr">
        <is>
          <t>Văn bản</t>
        </is>
      </c>
      <c r="F18" s="13" t="inlineStr">
        <is>
          <t>Không</t>
        </is>
      </c>
      <c r="G18" s="13" t="inlineStr">
        <is>
          <t>Chỉ Submission + Lead snapshot</t>
        </is>
      </c>
      <c r="H18" s="13" t="inlineStr">
        <is>
          <t>max:150</t>
        </is>
      </c>
      <c r="I18" s="13" t="inlineStr"/>
    </row>
    <row r="19" ht="42" customHeight="1">
      <c r="A19" s="12" t="n">
        <v>16</v>
      </c>
      <c r="B19" s="13" t="inlineStr">
        <is>
          <t>Cả hai</t>
        </is>
      </c>
      <c r="C19" s="13" t="inlineStr">
        <is>
          <t>Cần chuyển dữ liệu</t>
        </is>
      </c>
      <c r="D19" s="13" t="inlineStr">
        <is>
          <t>migration_required</t>
        </is>
      </c>
      <c r="E19" s="13" t="inlineStr">
        <is>
          <t>Chọn</t>
        </is>
      </c>
      <c r="F19" s="13" t="inlineStr">
        <is>
          <t>Có</t>
        </is>
      </c>
      <c r="G19" s="13" t="inlineStr">
        <is>
          <t>Chỉ Submission + Lead snapshot</t>
        </is>
      </c>
      <c r="H19" s="13" t="inlineStr">
        <is>
          <t>required</t>
        </is>
      </c>
      <c r="I19" s="13" t="inlineStr">
        <is>
          <t>yes=Có; no=Không; unsure=Chưa xác định</t>
        </is>
      </c>
    </row>
    <row r="20" ht="42" customHeight="1">
      <c r="A20" s="12" t="n">
        <v>17</v>
      </c>
      <c r="B20" s="13" t="inlineStr">
        <is>
          <t>Cả hai</t>
        </is>
      </c>
      <c r="C20" s="13" t="inlineStr">
        <is>
          <t>Ngày dự kiến triển khai</t>
        </is>
      </c>
      <c r="D20" s="13" t="inlineStr">
        <is>
          <t>expected_start_date</t>
        </is>
      </c>
      <c r="E20" s="13" t="inlineStr">
        <is>
          <t>Ngày</t>
        </is>
      </c>
      <c r="F20" s="13" t="inlineStr">
        <is>
          <t>Có</t>
        </is>
      </c>
      <c r="G20" s="13" t="inlineStr">
        <is>
          <t>Chỉ Submission + Lead snapshot</t>
        </is>
      </c>
      <c r="H20" s="13" t="inlineStr">
        <is>
          <t>required|after_or_equal:today</t>
        </is>
      </c>
      <c r="I20" s="13" t="inlineStr"/>
    </row>
    <row r="21" ht="42" customHeight="1">
      <c r="A21" s="12" t="n">
        <v>18</v>
      </c>
      <c r="B21" s="13" t="inlineStr">
        <is>
          <t>Cả hai</t>
        </is>
      </c>
      <c r="C21" s="13" t="inlineStr">
        <is>
          <t>Ngân sách dự kiến</t>
        </is>
      </c>
      <c r="D21" s="13" t="inlineStr">
        <is>
          <t>expected_budget</t>
        </is>
      </c>
      <c r="E21" s="13" t="inlineStr">
        <is>
          <t>Số</t>
        </is>
      </c>
      <c r="F21" s="13" t="inlineStr">
        <is>
          <t>Không</t>
        </is>
      </c>
      <c r="G21" s="13" t="inlineStr">
        <is>
          <t>Chỉ Submission + Lead snapshot</t>
        </is>
      </c>
      <c r="H21" s="13" t="inlineStr">
        <is>
          <t>numeric|min:0|max:1000000000</t>
        </is>
      </c>
      <c r="I21" s="13" t="inlineStr"/>
    </row>
    <row r="22" ht="42" customHeight="1">
      <c r="A22" s="12" t="n">
        <v>19</v>
      </c>
      <c r="B22" s="13" t="inlineStr">
        <is>
          <t>Cả hai</t>
        </is>
      </c>
      <c r="C22" s="13" t="inlineStr">
        <is>
          <t>Mô tả nhu cầu</t>
        </is>
      </c>
      <c r="D22" s="13" t="inlineStr">
        <is>
          <t>requirement_note</t>
        </is>
      </c>
      <c r="E22" s="13" t="inlineStr">
        <is>
          <t>Vùng văn bản</t>
        </is>
      </c>
      <c r="F22" s="13" t="inlineStr">
        <is>
          <t>Không</t>
        </is>
      </c>
      <c r="G22" s="13" t="inlineStr">
        <is>
          <t>Chỉ Submission + Lead snapshot</t>
        </is>
      </c>
      <c r="H22" s="13" t="inlineStr">
        <is>
          <t>max:1000</t>
        </is>
      </c>
      <c r="I22" s="13" t="inlineStr"/>
    </row>
  </sheetData>
  <autoFilter ref="A3:I22"/>
  <mergeCells count="1">
    <mergeCell ref="A1:I1"/>
  </mergeCells>
  <pageMargins left="0.3" right="0.3" top="0.45" bottom="0.45" header="0.2" footer="0.2"/>
  <pageSetup orientation="landscape" fitToHeight="0" fitToWidth="1"/>
  <headerFooter>
    <oddHeader/>
    <oddFooter>&amp;CDTH Business Core - UI Test Data Master&amp;RTrang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25" customWidth="1" min="3" max="3"/>
    <col width="25" customWidth="1" min="4" max="4"/>
    <col width="22" customWidth="1" min="5" max="5"/>
    <col width="34" customWidth="1" min="6" max="6"/>
    <col width="20" customWidth="1" min="7" max="7"/>
    <col width="17" customWidth="1" min="8" max="8"/>
    <col width="26" customWidth="1" min="9" max="9"/>
    <col width="16" customWidth="1" min="10" max="10"/>
    <col width="17" customWidth="1" min="11" max="11"/>
    <col width="25" customWidth="1" min="12" max="12"/>
    <col width="20" customWidth="1" min="13" max="13"/>
    <col width="18" customWidth="1" min="14" max="14"/>
    <col width="18" customWidth="1" min="15" max="15"/>
    <col width="50" customWidth="1" min="16" max="16"/>
    <col width="38" customWidth="1" min="17" max="17"/>
    <col width="16" customWidth="1" min="18" max="18"/>
  </cols>
  <sheetData>
    <row r="1" ht="28" customHeight="1">
      <c r="A1" s="1" t="inlineStr">
        <is>
          <t>DỮ LIỆU NHẬP FORM - DÙNG LẠI CHO TOÀN BỘ QUÁ TRÌNH TEST</t>
        </is>
      </c>
    </row>
    <row r="2"/>
    <row r="3" ht="30" customHeight="1">
      <c r="A3" s="11" t="inlineStr">
        <is>
          <t>Bộ</t>
        </is>
      </c>
      <c r="B3" s="11" t="inlineStr">
        <is>
          <t>Mục đích</t>
        </is>
      </c>
      <c r="C3" s="11" t="inlineStr">
        <is>
          <t>Loại form</t>
        </is>
      </c>
      <c r="D3" s="11" t="inlineStr">
        <is>
          <t>Họ / Chức vụ</t>
        </is>
      </c>
      <c r="E3" s="11" t="inlineStr">
        <is>
          <t>Tên / Người liên hệ</t>
        </is>
      </c>
      <c r="F3" s="11" t="inlineStr">
        <is>
          <t>Email</t>
        </is>
      </c>
      <c r="G3" s="11" t="inlineStr">
        <is>
          <t>Điện thoại</t>
        </is>
      </c>
      <c r="H3" s="11" t="inlineStr">
        <is>
          <t>Tên doanh nghiệp</t>
        </is>
      </c>
      <c r="I3" s="11" t="inlineStr">
        <is>
          <t>Mã số thuế</t>
        </is>
      </c>
      <c r="J3" s="11" t="inlineStr">
        <is>
          <t>Dịch vụ</t>
        </is>
      </c>
      <c r="K3" s="11" t="inlineStr">
        <is>
          <t>Số website</t>
        </is>
      </c>
      <c r="L3" s="11" t="inlineStr">
        <is>
          <t>Nhà cung cấp</t>
        </is>
      </c>
      <c r="M3" s="11" t="inlineStr">
        <is>
          <t>Chuyển dữ liệu</t>
        </is>
      </c>
      <c r="N3" s="11" t="inlineStr">
        <is>
          <t>Ngày triển khai</t>
        </is>
      </c>
      <c r="O3" s="11" t="inlineStr">
        <is>
          <t>Ngân sách</t>
        </is>
      </c>
      <c r="P3" s="11" t="inlineStr">
        <is>
          <t>Mô tả nhu cầu</t>
        </is>
      </c>
      <c r="Q3" s="11" t="inlineStr">
        <is>
          <t>Kết quả chính</t>
        </is>
      </c>
      <c r="R3" s="11" t="inlineStr">
        <is>
          <t>Trạng thái test</t>
        </is>
      </c>
    </row>
    <row r="4" ht="42" customHeight="1">
      <c r="A4" s="12" t="inlineStr">
        <is>
          <t>A</t>
        </is>
      </c>
      <c r="B4" s="12" t="inlineStr">
        <is>
          <t>Golden Path B2B</t>
        </is>
      </c>
      <c r="C4" s="13" t="inlineStr">
        <is>
          <t>Doanh nghiệp</t>
        </is>
      </c>
      <c r="D4" s="13" t="inlineStr">
        <is>
          <t>Trưởng phòng CNTT</t>
        </is>
      </c>
      <c r="E4" s="13" t="inlineStr">
        <is>
          <t>Nguyễn Minh Khoa</t>
        </is>
      </c>
      <c r="F4" s="13">
        <f>LEFT('00_HUONG_DAN'!$C$7,FIND("@",'00_HUONG_DAN'!$C$7)-1)&amp;"+dth."&amp;LOWER(SUBSTITUTE('00_HUONG_DAN'!$C$6,"-","."))&amp;".b2b001"&amp;MID('00_HUONG_DAN'!$C$7,FIND("@",'00_HUONG_DAN'!$C$7),LEN('00_HUONG_DAN'!$C$7))</f>
        <v/>
      </c>
      <c r="G4" s="13" t="inlineStr">
        <is>
          <t>0900001001</t>
        </is>
      </c>
      <c r="H4" s="13">
        <f>'00_HUONG_DAN'!$C$10</f>
        <v/>
      </c>
      <c r="I4" s="13">
        <f>'00_HUONG_DAN'!$C$9</f>
        <v/>
      </c>
      <c r="J4" s="13" t="inlineStr">
        <is>
          <t>hosting_pro</t>
        </is>
      </c>
      <c r="K4" s="13" t="n">
        <v>5</v>
      </c>
      <c r="L4" s="13" t="inlineStr">
        <is>
          <t>AZDIGI</t>
        </is>
      </c>
      <c r="M4" s="13" t="inlineStr">
        <is>
          <t>yes</t>
        </is>
      </c>
      <c r="N4" s="14">
        <f>'00_HUONG_DAN'!$C$8+7</f>
        <v/>
      </c>
      <c r="O4" s="15" t="n">
        <v>5000000</v>
      </c>
      <c r="P4" s="13" t="inlineStr">
        <is>
          <t>Chuyển 5 website WordPress, hạn chế gián đoạn, hỗ trợ SSL và backup.</t>
        </is>
      </c>
      <c r="Q4" s="12" t="inlineStr">
        <is>
          <t>Tạo 1 Submission, 1 Contact, 1 Company, 1 Lead đủ dữ liệu. Dùng Lead này cho toàn bộ Golden Path.</t>
        </is>
      </c>
      <c r="R4" s="12" t="inlineStr">
        <is>
          <t>Chưa test</t>
        </is>
      </c>
    </row>
    <row r="5" ht="42" customHeight="1">
      <c r="A5" s="12" t="inlineStr">
        <is>
          <t>B</t>
        </is>
      </c>
      <c r="B5" s="12" t="inlineStr">
        <is>
          <t>Lead cá nhân</t>
        </is>
      </c>
      <c r="C5" s="13" t="inlineStr">
        <is>
          <t>Cá nhân</t>
        </is>
      </c>
      <c r="D5" s="13" t="inlineStr">
        <is>
          <t>Lê</t>
        </is>
      </c>
      <c r="E5" s="13" t="inlineStr">
        <is>
          <t>Thu Hà</t>
        </is>
      </c>
      <c r="F5" s="13">
        <f>LEFT('00_HUONG_DAN'!$C$7,FIND("@",'00_HUONG_DAN'!$C$7)-1)&amp;"+dth."&amp;LOWER(SUBSTITUTE('00_HUONG_DAN'!$C$6,"-","."))&amp;".personal001"&amp;MID('00_HUONG_DAN'!$C$7,FIND("@",'00_HUONG_DAN'!$C$7),LEN('00_HUONG_DAN'!$C$7))</f>
        <v/>
      </c>
      <c r="G5" s="13" t="inlineStr">
        <is>
          <t>0900001002</t>
        </is>
      </c>
      <c r="H5" s="13" t="inlineStr"/>
      <c r="I5" s="13" t="inlineStr"/>
      <c r="J5" s="13" t="inlineStr">
        <is>
          <t>hosting_basic</t>
        </is>
      </c>
      <c r="K5" s="13" t="n">
        <v>1</v>
      </c>
      <c r="L5" s="13" t="inlineStr">
        <is>
          <t>Chưa có</t>
        </is>
      </c>
      <c r="M5" s="13" t="inlineStr">
        <is>
          <t>no</t>
        </is>
      </c>
      <c r="N5" s="14">
        <f>'00_HUONG_DAN'!$C$8+10</f>
        <v/>
      </c>
      <c r="O5" s="15" t="n">
        <v>1000000</v>
      </c>
      <c r="P5" s="13" t="inlineStr">
        <is>
          <t>Website giới thiệu cá nhân, cần SSL và hướng dẫn quản trị.</t>
        </is>
      </c>
      <c r="Q5" s="12" t="inlineStr">
        <is>
          <t>Tạo Contact cá nhân + Lead; không tạo Company.</t>
        </is>
      </c>
      <c r="R5" s="12" t="inlineStr">
        <is>
          <t>Chưa test</t>
        </is>
      </c>
    </row>
    <row r="6" ht="42" customHeight="1">
      <c r="A6" s="12" t="inlineStr">
        <is>
          <t>C</t>
        </is>
      </c>
      <c r="B6" s="12" t="inlineStr">
        <is>
          <t>Người liên hệ thứ hai cùng Company</t>
        </is>
      </c>
      <c r="C6" s="13" t="inlineStr">
        <is>
          <t>Doanh nghiệp</t>
        </is>
      </c>
      <c r="D6" s="13" t="inlineStr">
        <is>
          <t>Kế toán trưởng</t>
        </is>
      </c>
      <c r="E6" s="13" t="inlineStr">
        <is>
          <t>Trần Ngọc Mai</t>
        </is>
      </c>
      <c r="F6" s="13">
        <f>LEFT('00_HUONG_DAN'!$C$7,FIND("@",'00_HUONG_DAN'!$C$7)-1)&amp;"+dth."&amp;LOWER(SUBSTITUTE('00_HUONG_DAN'!$C$6,"-","."))&amp;".b2b002"&amp;MID('00_HUONG_DAN'!$C$7,FIND("@",'00_HUONG_DAN'!$C$7),LEN('00_HUONG_DAN'!$C$7))</f>
        <v/>
      </c>
      <c r="G6" s="13" t="inlineStr">
        <is>
          <t>0900001003</t>
        </is>
      </c>
      <c r="H6" s="13">
        <f>'00_HUONG_DAN'!$C$10</f>
        <v/>
      </c>
      <c r="I6" s="13">
        <f>'00_HUONG_DAN'!$C$9</f>
        <v/>
      </c>
      <c r="J6" s="13" t="inlineStr">
        <is>
          <t>hosting_vip</t>
        </is>
      </c>
      <c r="K6" s="13" t="n">
        <v>12</v>
      </c>
      <c r="L6" s="13" t="inlineStr">
        <is>
          <t>Vietnix</t>
        </is>
      </c>
      <c r="M6" s="13" t="inlineStr">
        <is>
          <t>unsure</t>
        </is>
      </c>
      <c r="N6" s="14">
        <f>'00_HUONG_DAN'!$C$8+14</f>
        <v/>
      </c>
      <c r="O6" s="15" t="n">
        <v>15000000</v>
      </c>
      <c r="P6" s="13" t="inlineStr">
        <is>
          <t>Đánh giá tài nguyên và chuyển 12 website theo từng đợt.</t>
        </is>
      </c>
      <c r="Q6" s="12" t="inlineStr">
        <is>
          <t>Không tạo Company thứ hai; Company có 2 Contact; Lead mới giữ nhu cầu riêng.</t>
        </is>
      </c>
      <c r="R6" s="12" t="inlineStr">
        <is>
          <t>Chưa test</t>
        </is>
      </c>
    </row>
    <row r="7" ht="42" customHeight="1">
      <c r="A7" s="12" t="inlineStr">
        <is>
          <t>D</t>
        </is>
      </c>
      <c r="B7" s="12" t="inlineStr">
        <is>
          <t>Chống nhấn gửi hai lần</t>
        </is>
      </c>
      <c r="C7" s="13" t="inlineStr">
        <is>
          <t>Doanh nghiệp</t>
        </is>
      </c>
      <c r="D7" s="13" t="inlineStr">
        <is>
          <t>Trưởng phòng CNTT</t>
        </is>
      </c>
      <c r="E7" s="13" t="inlineStr">
        <is>
          <t>Nguyễn Minh Khoa</t>
        </is>
      </c>
      <c r="F7" s="13">
        <f>LEFT('00_HUONG_DAN'!$C$7,FIND("@",'00_HUONG_DAN'!$C$7)-1)&amp;"+dth."&amp;LOWER(SUBSTITUTE('00_HUONG_DAN'!$C$6,"-","."))&amp;".duplicate001"&amp;MID('00_HUONG_DAN'!$C$7,FIND("@",'00_HUONG_DAN'!$C$7),LEN('00_HUONG_DAN'!$C$7))</f>
        <v/>
      </c>
      <c r="G7" s="13" t="inlineStr">
        <is>
          <t>0900001004</t>
        </is>
      </c>
      <c r="H7" s="13">
        <f>'00_HUONG_DAN'!$C$10</f>
        <v/>
      </c>
      <c r="I7" s="13">
        <f>'00_HUONG_DAN'!$C$9</f>
        <v/>
      </c>
      <c r="J7" s="13" t="inlineStr">
        <is>
          <t>hosting_pro</t>
        </is>
      </c>
      <c r="K7" s="13" t="n">
        <v>5</v>
      </c>
      <c r="L7" s="13" t="inlineStr">
        <is>
          <t>AZDIGI</t>
        </is>
      </c>
      <c r="M7" s="13" t="inlineStr">
        <is>
          <t>yes</t>
        </is>
      </c>
      <c r="N7" s="14">
        <f>'00_HUONG_DAN'!$C$8+7</f>
        <v/>
      </c>
      <c r="O7" s="15" t="n">
        <v>5000000</v>
      </c>
      <c r="P7" s="13" t="inlineStr">
        <is>
          <t>Nhấn nút gửi liên tiếp hai lần.</t>
        </is>
      </c>
      <c r="Q7" s="12" t="inlineStr">
        <is>
          <t>Chỉ 1 Submission và 1 Lead.</t>
        </is>
      </c>
      <c r="R7" s="12" t="inlineStr">
        <is>
          <t>Chưa test</t>
        </is>
      </c>
    </row>
    <row r="8" ht="42" customHeight="1">
      <c r="A8" s="12" t="inlineStr">
        <is>
          <t>E</t>
        </is>
      </c>
      <c r="B8" s="12" t="inlineStr">
        <is>
          <t>Validation giá trị giả</t>
        </is>
      </c>
      <c r="C8" s="13" t="inlineStr">
        <is>
          <t>DevTools/API</t>
        </is>
      </c>
      <c r="D8" s="13" t="inlineStr"/>
      <c r="E8" s="13" t="inlineStr">
        <is>
          <t>Invalid Service</t>
        </is>
      </c>
      <c r="F8" s="13">
        <f>LEFT('00_HUONG_DAN'!$C$7,FIND("@",'00_HUONG_DAN'!$C$7)-1)&amp;"+dth."&amp;LOWER(SUBSTITUTE('00_HUONG_DAN'!$C$6,"-","."))&amp;".invalid001"&amp;MID('00_HUONG_DAN'!$C$7,FIND("@",'00_HUONG_DAN'!$C$7),LEN('00_HUONG_DAN'!$C$7))</f>
        <v/>
      </c>
      <c r="G8" s="13" t="inlineStr">
        <is>
          <t>0900001005</t>
        </is>
      </c>
      <c r="H8" s="13" t="inlineStr"/>
      <c r="I8" s="13" t="inlineStr"/>
      <c r="J8" s="13" t="inlineStr">
        <is>
          <t>hosting_free_forever</t>
        </is>
      </c>
      <c r="K8" s="13" t="n">
        <v>1</v>
      </c>
      <c r="L8" s="13" t="inlineStr">
        <is>
          <t>Không có</t>
        </is>
      </c>
      <c r="M8" s="13" t="inlineStr">
        <is>
          <t>no</t>
        </is>
      </c>
      <c r="N8" s="14">
        <f>'00_HUONG_DAN'!$C$8+7</f>
        <v/>
      </c>
      <c r="O8" s="15" t="n">
        <v>0</v>
      </c>
      <c r="P8" s="13" t="inlineStr">
        <is>
          <t>Gửi giá trị dịch vụ không thuộc options.</t>
        </is>
      </c>
      <c r="Q8" s="12" t="inlineStr">
        <is>
          <t>Backend từ chối; không tạo Contact/Submission/Lead dở dang.</t>
        </is>
      </c>
      <c r="R8" s="12" t="inlineStr">
        <is>
          <t>Chưa test</t>
        </is>
      </c>
    </row>
    <row r="9" ht="42" customHeight="1">
      <c r="A9" s="12" t="inlineStr">
        <is>
          <t>F</t>
        </is>
      </c>
      <c r="B9" s="12" t="inlineStr">
        <is>
          <t>Cùng Contact, nhu cầu mới</t>
        </is>
      </c>
      <c r="C9" s="13" t="inlineStr">
        <is>
          <t>Cá nhân</t>
        </is>
      </c>
      <c r="D9" s="13" t="inlineStr">
        <is>
          <t>Lê</t>
        </is>
      </c>
      <c r="E9" s="13" t="inlineStr">
        <is>
          <t>Thu Hà</t>
        </is>
      </c>
      <c r="F9" s="13">
        <f>LEFT('00_HUONG_DAN'!$C$7,FIND("@",'00_HUONG_DAN'!$C$7)-1)&amp;"+dth."&amp;LOWER(SUBSTITUTE('00_HUONG_DAN'!$C$6,"-","."))&amp;".personal001"&amp;MID('00_HUONG_DAN'!$C$7,FIND("@",'00_HUONG_DAN'!$C$7),LEN('00_HUONG_DAN'!$C$7))</f>
        <v/>
      </c>
      <c r="G9" s="13" t="inlineStr">
        <is>
          <t>0900001002</t>
        </is>
      </c>
      <c r="H9" s="13" t="inlineStr"/>
      <c r="I9" s="13" t="inlineStr"/>
      <c r="J9" s="13" t="inlineStr">
        <is>
          <t>hosting_vip</t>
        </is>
      </c>
      <c r="K9" s="13" t="n">
        <v>3</v>
      </c>
      <c r="L9" s="13" t="inlineStr">
        <is>
          <t>Nhà cung cấp khác</t>
        </is>
      </c>
      <c r="M9" s="13" t="inlineStr">
        <is>
          <t>yes</t>
        </is>
      </c>
      <c r="N9" s="14">
        <f>'00_HUONG_DAN'!$C$8+21</f>
        <v/>
      </c>
      <c r="O9" s="15" t="n">
        <v>8000000</v>
      </c>
      <c r="P9" s="13" t="inlineStr">
        <is>
          <t>Nâng cấp lên VIP cho 3 website và cần chuyển dữ liệu.</t>
        </is>
      </c>
      <c r="Q9" s="12" t="inlineStr">
        <is>
          <t>Vẫn 1 Contact cá nhân; tạo Submission và Lead mới; Lead B không đổi.</t>
        </is>
      </c>
      <c r="R9" s="12" t="inlineStr">
        <is>
          <t>Chưa test</t>
        </is>
      </c>
    </row>
  </sheetData>
  <autoFilter ref="A3:R9"/>
  <mergeCells count="1">
    <mergeCell ref="A1:R1"/>
  </mergeCells>
  <conditionalFormatting sqref="R4:R9">
    <cfRule type="expression" priority="1" dxfId="0">
      <formula>R4="Đạt"</formula>
    </cfRule>
    <cfRule type="expression" priority="2" dxfId="1">
      <formula>R4="Không đạt"</formula>
    </cfRule>
  </conditionalFormatting>
  <dataValidations count="1">
    <dataValidation sqref="R4:R9" showDropDown="0" showInputMessage="0" showErrorMessage="0" allowBlank="1" type="list">
      <formula1>"Chưa test,Đạt,Không đạt,Không áp dụng"</formula1>
    </dataValidation>
  </dataValidations>
  <pageMargins left="0.3" right="0.3" top="0.45" bottom="0.45" header="0.2" footer="0.2"/>
  <pageSetup orientation="landscape" fitToHeight="0" fitToWidth="1"/>
  <headerFooter>
    <oddHeader/>
    <oddFooter>&amp;CDTH Business Core - UI Test Data Master&amp;RTrang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28" customWidth="1" min="3" max="3"/>
    <col width="28" customWidth="1" min="4" max="4"/>
    <col width="26" customWidth="1" min="5" max="5"/>
    <col width="38" customWidth="1" min="6" max="6"/>
    <col width="45" customWidth="1" min="7" max="7"/>
    <col width="16" customWidth="1" min="8" max="8"/>
  </cols>
  <sheetData>
    <row r="1" ht="28" customHeight="1">
      <c r="A1" s="1" t="inlineStr">
        <is>
          <t>KIỂM THỬ TỰ ĐỘNG PHÂN PHỐI LEAD</t>
        </is>
      </c>
    </row>
    <row r="2"/>
    <row r="3" ht="30" customHeight="1">
      <c r="A3" s="11" t="inlineStr">
        <is>
          <t>Bước</t>
        </is>
      </c>
      <c r="B3" s="11" t="inlineStr">
        <is>
          <t>Dữ liệu sử dụng</t>
        </is>
      </c>
      <c r="C3" s="11" t="inlineStr">
        <is>
          <t>Thao tác UI</t>
        </is>
      </c>
      <c r="D3" s="11" t="inlineStr">
        <is>
          <t>Điều kiện trước</t>
        </is>
      </c>
      <c r="E3" s="11" t="inlineStr">
        <is>
          <t>Kết quả trên Lead</t>
        </is>
      </c>
      <c r="F3" s="11" t="inlineStr">
        <is>
          <t>Kết quả trên Company/Submission</t>
        </is>
      </c>
      <c r="G3" s="11" t="inlineStr">
        <is>
          <t>Rủi ro cần chặn</t>
        </is>
      </c>
      <c r="H3" s="11" t="inlineStr">
        <is>
          <t>Trạng thái</t>
        </is>
      </c>
    </row>
    <row r="4" ht="42" customHeight="1">
      <c r="A4" s="12" t="inlineStr">
        <is>
          <t>1</t>
        </is>
      </c>
      <c r="B4" s="12" t="inlineStr">
        <is>
          <t>Bộ A</t>
        </is>
      </c>
      <c r="C4" s="12" t="inlineStr">
        <is>
          <t>Nhấn Tự động phân phối</t>
        </is>
      </c>
      <c r="D4" s="12" t="inlineStr">
        <is>
          <t>Lead A đủ dữ liệu, Company đã xác định</t>
        </is>
      </c>
      <c r="E4" s="12" t="inlineStr">
        <is>
          <t>Có nhân viên phụ trách; assigned_at được ghi; trạng thái phù hợp</t>
        </is>
      </c>
      <c r="F4" s="12" t="inlineStr">
        <is>
          <t>Submission chuyển Đã phân phối; Company có Account Owner</t>
        </is>
      </c>
      <c r="G4" s="12" t="inlineStr">
        <is>
          <t>Không giao cho nhân viên ngừng hoạt động/không nhận khách</t>
        </is>
      </c>
      <c r="H4" s="12" t="inlineStr">
        <is>
          <t>Chưa test</t>
        </is>
      </c>
    </row>
    <row r="5" ht="42" customHeight="1">
      <c r="A5" s="12" t="inlineStr">
        <is>
          <t>2</t>
        </is>
      </c>
      <c r="B5" s="12" t="inlineStr">
        <is>
          <t>Bộ C</t>
        </is>
      </c>
      <c r="C5" s="12" t="inlineStr">
        <is>
          <t>Chạy tự động phân phối sau A</t>
        </is>
      </c>
      <c r="D5" s="12" t="inlineStr">
        <is>
          <t>Cùng MST và cùng Company với A</t>
        </is>
      </c>
      <c r="E5" s="12" t="inlineStr">
        <is>
          <t>Lead C ưu tiên cùng nhân viên với Lead A</t>
        </is>
      </c>
      <c r="F5" s="12" t="inlineStr">
        <is>
          <t>Account Owner Company không bị đổi ngẫu nhiên</t>
        </is>
      </c>
      <c r="G5" s="12" t="inlineStr">
        <is>
          <t>Hai nhân viên cùng gọi một doanh nghiệp</t>
        </is>
      </c>
      <c r="H5" s="12" t="inlineStr">
        <is>
          <t>Chưa test</t>
        </is>
      </c>
    </row>
    <row r="6" ht="42" customHeight="1">
      <c r="A6" s="12" t="inlineStr">
        <is>
          <t>3</t>
        </is>
      </c>
      <c r="B6" s="12" t="inlineStr">
        <is>
          <t>Bộ B</t>
        </is>
      </c>
      <c r="C6" s="12" t="inlineStr">
        <is>
          <t>Chạy tự động phân phối</t>
        </is>
      </c>
      <c r="D6" s="12" t="inlineStr">
        <is>
          <t>Lead cá nhân đủ dữ liệu</t>
        </is>
      </c>
      <c r="E6" s="12" t="inlineStr">
        <is>
          <t>Được phân cho nhân viên hợp lệ</t>
        </is>
      </c>
      <c r="F6" s="12" t="inlineStr">
        <is>
          <t>Không tạo Company</t>
        </is>
      </c>
      <c r="G6" s="12" t="inlineStr">
        <is>
          <t>Lead cá nhân bị chặn vì không có Company</t>
        </is>
      </c>
      <c r="H6" s="12" t="inlineStr">
        <is>
          <t>Chưa test</t>
        </is>
      </c>
    </row>
    <row r="7" ht="42" customHeight="1">
      <c r="A7" s="12" t="inlineStr">
        <is>
          <t>4</t>
        </is>
      </c>
      <c r="B7" s="12" t="inlineStr">
        <is>
          <t>Lead thiếu dữ liệu/backfill</t>
        </is>
      </c>
      <c r="C7" s="12" t="inlineStr">
        <is>
          <t>Chạy tự động phân phối</t>
        </is>
      </c>
      <c r="D7" s="12" t="inlineStr">
        <is>
          <t>intake_ready=false</t>
        </is>
      </c>
      <c r="E7" s="12" t="inlineStr">
        <is>
          <t>Không được phân phối</t>
        </is>
      </c>
      <c r="F7" s="12" t="inlineStr">
        <is>
          <t>Giữ trạng thái Cần kiểm tra</t>
        </is>
      </c>
      <c r="G7" s="12" t="inlineStr">
        <is>
          <t>Giao Lead thiếu dịch vụ cho Sales</t>
        </is>
      </c>
      <c r="H7" s="12" t="inlineStr">
        <is>
          <t>Chưa test</t>
        </is>
      </c>
    </row>
  </sheetData>
  <mergeCells count="1">
    <mergeCell ref="A1:H1"/>
  </mergeCells>
  <conditionalFormatting sqref="H4:H7">
    <cfRule type="expression" priority="1" dxfId="0">
      <formula>H4="Đạt"</formula>
    </cfRule>
    <cfRule type="expression" priority="2" dxfId="1">
      <formula>H4="Không đạt"</formula>
    </cfRule>
  </conditionalFormatting>
  <dataValidations count="1">
    <dataValidation sqref="H4:H7" showDropDown="0" showInputMessage="0" showErrorMessage="0" allowBlank="1" type="list">
      <formula1>"Chưa test,Đạt,Không đạt,Không áp dụng"</formula1>
    </dataValidation>
  </dataValidations>
  <pageMargins left="0.3" right="0.3" top="0.45" bottom="0.45" header="0.2" footer="0.2"/>
  <pageSetup orientation="landscape" fitToHeight="0" fitToWidth="1"/>
  <headerFooter>
    <oddHeader/>
    <oddFooter>&amp;CDTH Business Core - UI Test Data Master&amp;RTrang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6" customWidth="1" min="3" max="3"/>
    <col width="24" customWidth="1" min="4" max="4"/>
    <col width="20" customWidth="1" min="5" max="5"/>
    <col width="18" customWidth="1" min="6" max="6"/>
    <col width="20" customWidth="1" min="7" max="7"/>
    <col width="48" customWidth="1" min="8" max="8"/>
    <col width="40" customWidth="1" min="9" max="9"/>
    <col width="16" customWidth="1" min="10" max="10"/>
  </cols>
  <sheetData>
    <row r="1" ht="28" customHeight="1">
      <c r="A1" s="1" t="inlineStr">
        <is>
          <t>DỮ LIỆU QUALIFICATION - DÙNG LEAD A LÀM GOLDEN PATH</t>
        </is>
      </c>
    </row>
    <row r="2"/>
    <row r="3" ht="30" customHeight="1">
      <c r="A3" s="11" t="inlineStr">
        <is>
          <t>Bước</t>
        </is>
      </c>
      <c r="B3" s="11" t="inlineStr">
        <is>
          <t>Lead</t>
        </is>
      </c>
      <c r="C3" s="11" t="inlineStr">
        <is>
          <t>Trạng thái</t>
        </is>
      </c>
      <c r="D3" s="11" t="inlineStr">
        <is>
          <t>Ưu tiên</t>
        </is>
      </c>
      <c r="E3" s="11" t="inlineStr">
        <is>
          <t>Điểm</t>
        </is>
      </c>
      <c r="F3" s="11" t="inlineStr">
        <is>
          <t>Giá trị ước tính</t>
        </is>
      </c>
      <c r="G3" s="11" t="inlineStr">
        <is>
          <t>Ngày follow-up</t>
        </is>
      </c>
      <c r="H3" s="11" t="inlineStr">
        <is>
          <t>Ghi chú / Kết quả liên hệ</t>
        </is>
      </c>
      <c r="I3" s="11" t="inlineStr">
        <is>
          <t>Kết quả mong muốn</t>
        </is>
      </c>
      <c r="J3" s="11" t="inlineStr">
        <is>
          <t>Trạng thái test</t>
        </is>
      </c>
    </row>
    <row r="4" ht="42" customHeight="1">
      <c r="A4" s="12" t="inlineStr">
        <is>
          <t>1</t>
        </is>
      </c>
      <c r="B4" s="12" t="inlineStr">
        <is>
          <t>Bộ A</t>
        </is>
      </c>
      <c r="C4" s="13" t="inlineStr">
        <is>
          <t>Đang liên hệ</t>
        </is>
      </c>
      <c r="D4" s="13" t="inlineStr">
        <is>
          <t>Cao</t>
        </is>
      </c>
      <c r="E4" s="13" t="n">
        <v>70</v>
      </c>
      <c r="F4" s="15" t="n">
        <v>3850000</v>
      </c>
      <c r="G4" s="14">
        <f>'00_HUONG_DAN'!$C$8+1</f>
        <v/>
      </c>
      <c r="H4" s="13" t="inlineStr">
        <is>
          <t>Đã gọi lần đầu; khách xác nhận có 5 website WordPress và cần chuyển dữ liệu.</t>
        </is>
      </c>
      <c r="I4" s="12" t="inlineStr">
        <is>
          <t>Ghi activity/note; first_contacted_at có giá trị; chưa tạo Opportunity.</t>
        </is>
      </c>
      <c r="J4" s="12" t="inlineStr">
        <is>
          <t>Chưa test</t>
        </is>
      </c>
    </row>
    <row r="5" ht="42" customHeight="1">
      <c r="A5" s="12" t="inlineStr">
        <is>
          <t>2</t>
        </is>
      </c>
      <c r="B5" s="12" t="inlineStr">
        <is>
          <t>Bộ A</t>
        </is>
      </c>
      <c r="C5" s="13" t="inlineStr">
        <is>
          <t>Theo dõi</t>
        </is>
      </c>
      <c r="D5" s="13" t="inlineStr">
        <is>
          <t>Cao</t>
        </is>
      </c>
      <c r="E5" s="13" t="n">
        <v>80</v>
      </c>
      <c r="F5" s="15" t="n">
        <v>3850000</v>
      </c>
      <c r="G5" s="14">
        <f>'00_HUONG_DAN'!$C$8+3</f>
        <v/>
      </c>
      <c r="H5" s="13" t="inlineStr">
        <is>
          <t>Khách gửi thông tin dung lượng và lịch truy cập thấp điểm.</t>
        </is>
      </c>
      <c r="I5" s="12" t="inlineStr">
        <is>
          <t>next_follow_up_at cập nhật; lịch sử bước 1 vẫn còn.</t>
        </is>
      </c>
      <c r="J5" s="12" t="inlineStr">
        <is>
          <t>Chưa test</t>
        </is>
      </c>
    </row>
    <row r="6" ht="42" customHeight="1">
      <c r="A6" s="12" t="inlineStr">
        <is>
          <t>3</t>
        </is>
      </c>
      <c r="B6" s="12" t="inlineStr">
        <is>
          <t>Bộ A</t>
        </is>
      </c>
      <c r="C6" s="13" t="inlineStr">
        <is>
          <t>Đủ điều kiện</t>
        </is>
      </c>
      <c r="D6" s="13" t="inlineStr">
        <is>
          <t>Cao</t>
        </is>
      </c>
      <c r="E6" s="13" t="n">
        <v>88</v>
      </c>
      <c r="F6" s="15" t="n">
        <v>3850000</v>
      </c>
      <c r="G6" s="14">
        <f>'00_HUONG_DAN'!$C$8+5</f>
        <v/>
      </c>
      <c r="H6" s="13" t="inlineStr">
        <is>
          <t>Xác nhận ngân sách 5 triệu, triển khai trong 1 tuần, người quyết định là Giám đốc.</t>
        </is>
      </c>
      <c r="I6" s="12" t="inlineStr">
        <is>
          <t>Cho phép chuyển thành Opportunity; qualified_at và người xác minh được ghi.</t>
        </is>
      </c>
      <c r="J6" s="12" t="inlineStr">
        <is>
          <t>Chưa test</t>
        </is>
      </c>
    </row>
    <row r="7" ht="42" customHeight="1">
      <c r="A7" s="12" t="inlineStr">
        <is>
          <t>4</t>
        </is>
      </c>
      <c r="B7" s="12" t="inlineStr">
        <is>
          <t>Bộ B</t>
        </is>
      </c>
      <c r="C7" s="13" t="inlineStr">
        <is>
          <t>Không đủ điều kiện</t>
        </is>
      </c>
      <c r="D7" s="13" t="inlineStr">
        <is>
          <t>Thường</t>
        </is>
      </c>
      <c r="E7" s="13" t="n">
        <v>25</v>
      </c>
      <c r="F7" s="15" t="n">
        <v>1000000</v>
      </c>
      <c r="G7" s="14" t="inlineStr"/>
      <c r="H7" s="13" t="inlineStr">
        <is>
          <t>Khách chỉ tham khảo, chưa có kế hoạch triển khai trong 6 tháng.</t>
        </is>
      </c>
      <c r="I7" s="12" t="inlineStr">
        <is>
          <t>Không tạo Opportunity; lý do không đủ điều kiện bắt buộc.</t>
        </is>
      </c>
      <c r="J7" s="12" t="inlineStr">
        <is>
          <t>Chưa test</t>
        </is>
      </c>
    </row>
  </sheetData>
  <mergeCells count="1">
    <mergeCell ref="A1:J1"/>
  </mergeCells>
  <conditionalFormatting sqref="C4:C7">
    <cfRule type="expression" priority="1" dxfId="0">
      <formula>C4="Đạt"</formula>
    </cfRule>
    <cfRule type="expression" priority="2" dxfId="1">
      <formula>C4="Không đạt"</formula>
    </cfRule>
  </conditionalFormatting>
  <conditionalFormatting sqref="J4:J7">
    <cfRule type="expression" priority="3" dxfId="0">
      <formula>J4="Đạt"</formula>
    </cfRule>
    <cfRule type="expression" priority="4" dxfId="1">
      <formula>J4="Không đạt"</formula>
    </cfRule>
  </conditionalFormatting>
  <dataValidations count="1">
    <dataValidation sqref="J4:J7" showDropDown="0" showInputMessage="0" showErrorMessage="0" allowBlank="1" type="list">
      <formula1>"Chưa test,Đạt,Không đạt,Không áp dụng"</formula1>
    </dataValidation>
  </dataValidations>
  <pageMargins left="0.3" right="0.3" top="0.45" bottom="0.45" header="0.2" footer="0.2"/>
  <pageSetup orientation="landscape" fitToHeight="0" fitToWidth="1"/>
  <headerFooter>
    <oddHeader/>
    <oddFooter>&amp;CDTH Business Core - UI Test Data Master&amp;RTrang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28" customWidth="1" min="3" max="3"/>
    <col width="25" customWidth="1" min="4" max="4"/>
    <col width="18" customWidth="1" min="5" max="5"/>
    <col width="18" customWidth="1" min="6" max="6"/>
    <col width="18" customWidth="1" min="7" max="7"/>
    <col width="20" customWidth="1" min="8" max="8"/>
    <col width="48" customWidth="1" min="9" max="9"/>
    <col width="16" customWidth="1" min="10" max="10"/>
  </cols>
  <sheetData>
    <row r="1" ht="28" customHeight="1">
      <c r="A1" s="1" t="inlineStr">
        <is>
          <t>GOLDEN PATH SALES - OPPORTUNITY, QUOTATION, PAYMENT, CUSTOMER</t>
        </is>
      </c>
    </row>
    <row r="2"/>
    <row r="3" ht="22" customHeight="1">
      <c r="A3" s="4" t="inlineStr">
        <is>
          <t>A. OPPORTUNITY</t>
        </is>
      </c>
    </row>
    <row r="4" ht="30" customHeight="1">
      <c r="A4" s="11" t="inlineStr">
        <is>
          <t>Bước</t>
        </is>
      </c>
      <c r="B4" s="11" t="inlineStr">
        <is>
          <t>Trường/Thao tác</t>
        </is>
      </c>
      <c r="C4" s="11" t="inlineStr">
        <is>
          <t>Giá trị nhập</t>
        </is>
      </c>
      <c r="D4" s="11" t="inlineStr">
        <is>
          <t>Stage kỳ vọng</t>
        </is>
      </c>
      <c r="E4" s="11" t="inlineStr">
        <is>
          <t>Xác suất</t>
        </is>
      </c>
      <c r="F4" s="11" t="inlineStr">
        <is>
          <t>Giá trị</t>
        </is>
      </c>
      <c r="G4" s="11" t="inlineStr">
        <is>
          <t>Ngày dự kiến chốt</t>
        </is>
      </c>
      <c r="H4" s="11" t="inlineStr">
        <is>
          <t>Đối tượng liên kết</t>
        </is>
      </c>
      <c r="I4" s="11" t="inlineStr">
        <is>
          <t>Kết quả mong muốn</t>
        </is>
      </c>
      <c r="J4" s="11" t="inlineStr">
        <is>
          <t>Trạng thái</t>
        </is>
      </c>
    </row>
    <row r="5" ht="42" customHeight="1">
      <c r="A5" s="12" t="inlineStr">
        <is>
          <t>1</t>
        </is>
      </c>
      <c r="B5" s="12" t="inlineStr">
        <is>
          <t>Chuyển Lead A thành Opportunity</t>
        </is>
      </c>
      <c r="C5" s="13" t="inlineStr">
        <is>
          <t>Hosting Pro 12 tháng + chuyển 5 website - Minh Phát</t>
        </is>
      </c>
      <c r="D5" s="13" t="inlineStr">
        <is>
          <t>qualified</t>
        </is>
      </c>
      <c r="E5" s="13" t="n">
        <v>50</v>
      </c>
      <c r="F5" s="15" t="n">
        <v>3850000</v>
      </c>
      <c r="G5" s="14">
        <f>'00_HUONG_DAN'!$C$8+14</f>
        <v/>
      </c>
      <c r="H5" s="12" t="inlineStr">
        <is>
          <t>Lead A + Company Minh Phát + Nguyễn Minh Khoa</t>
        </is>
      </c>
      <c r="I5" s="12" t="inlineStr">
        <is>
          <t>Chỉ tạo 1 Opportunity từ Lead A; owner kế thừa đúng.</t>
        </is>
      </c>
      <c r="J5" s="12" t="inlineStr">
        <is>
          <t>Chưa test</t>
        </is>
      </c>
    </row>
    <row r="6" ht="42" customHeight="1">
      <c r="A6" s="12" t="inlineStr">
        <is>
          <t>2</t>
        </is>
      </c>
      <c r="B6" s="12" t="inlineStr">
        <is>
          <t>Chuyển stage</t>
        </is>
      </c>
      <c r="C6" s="13" t="inlineStr">
        <is>
          <t>Đã xác nhận nhu cầu và giải pháp kỹ thuật</t>
        </is>
      </c>
      <c r="D6" s="13" t="inlineStr">
        <is>
          <t>proposal</t>
        </is>
      </c>
      <c r="E6" s="13" t="n">
        <v>65</v>
      </c>
      <c r="F6" s="15" t="n">
        <v>3850000</v>
      </c>
      <c r="G6" s="14">
        <f>'00_HUONG_DAN'!$C$8+14</f>
        <v/>
      </c>
      <c r="H6" s="12" t="inlineStr">
        <is>
          <t>Opportunity của A</t>
        </is>
      </c>
      <c r="I6" s="12" t="inlineStr">
        <is>
          <t>Ghi lịch sử stage/interactions.</t>
        </is>
      </c>
      <c r="J6" s="12" t="inlineStr">
        <is>
          <t>Chưa test</t>
        </is>
      </c>
    </row>
    <row r="7" ht="42" customHeight="1">
      <c r="A7" s="12" t="inlineStr">
        <is>
          <t>3</t>
        </is>
      </c>
      <c r="B7" s="12" t="inlineStr">
        <is>
          <t>Sau khi gửi báo giá</t>
        </is>
      </c>
      <c r="C7" s="13" t="inlineStr">
        <is>
          <t>Khách đang xem xét điều khoản</t>
        </is>
      </c>
      <c r="D7" s="13" t="inlineStr">
        <is>
          <t>negotiation</t>
        </is>
      </c>
      <c r="E7" s="13" t="n">
        <v>80</v>
      </c>
      <c r="F7" s="15" t="n">
        <v>3850000</v>
      </c>
      <c r="G7" s="14">
        <f>'00_HUONG_DAN'!$C$8+14</f>
        <v/>
      </c>
      <c r="H7" s="12" t="inlineStr">
        <is>
          <t>Opportunity của A</t>
        </is>
      </c>
      <c r="I7" s="12" t="inlineStr">
        <is>
          <t>Không được đánh dấu Won khi chưa thanh toán.</t>
        </is>
      </c>
      <c r="J7" s="12" t="inlineStr">
        <is>
          <t>Chưa test</t>
        </is>
      </c>
    </row>
    <row r="8"/>
    <row r="9"/>
    <row r="10" ht="22" customHeight="1">
      <c r="A10" s="9" t="inlineStr">
        <is>
          <t>B. BÁO GIÁ - CÁC DÒNG HÀNG VÀ SỐ TIỀN KIỂM SOÁT</t>
        </is>
      </c>
    </row>
    <row r="11" ht="30" customHeight="1">
      <c r="A11" s="11" t="inlineStr">
        <is>
          <t>STT</t>
        </is>
      </c>
      <c r="B11" s="11" t="inlineStr">
        <is>
          <t>Hạng mục</t>
        </is>
      </c>
      <c r="C11" s="11" t="inlineStr">
        <is>
          <t>Mã tham chiếu</t>
        </is>
      </c>
      <c r="D11" s="11" t="inlineStr">
        <is>
          <t>Số lượng</t>
        </is>
      </c>
      <c r="E11" s="11" t="inlineStr">
        <is>
          <t>Đơn giá</t>
        </is>
      </c>
      <c r="F11" s="11" t="inlineStr">
        <is>
          <t>Thành tiền</t>
        </is>
      </c>
      <c r="G11" s="11" t="inlineStr">
        <is>
          <t>Giảm giá</t>
        </is>
      </c>
      <c r="H11" s="11" t="inlineStr">
        <is>
          <t>VAT</t>
        </is>
      </c>
      <c r="I11" s="11" t="inlineStr">
        <is>
          <t>Ghi chú</t>
        </is>
      </c>
      <c r="J11" s="11" t="inlineStr">
        <is>
          <t>Trạng thái</t>
        </is>
      </c>
    </row>
    <row r="12" ht="42" customHeight="1">
      <c r="A12" s="12" t="n">
        <v>1</v>
      </c>
      <c r="B12" s="13" t="inlineStr">
        <is>
          <t>Hosting Pro 12 tháng</t>
        </is>
      </c>
      <c r="C12" s="13" t="inlineStr">
        <is>
          <t>hosting_pro_annual</t>
        </is>
      </c>
      <c r="D12" s="13" t="n">
        <v>1</v>
      </c>
      <c r="E12" s="15" t="n">
        <v>1188000</v>
      </c>
      <c r="F12" s="16">
        <f>D12*E12</f>
        <v/>
      </c>
      <c r="G12" s="15" t="n">
        <v>0</v>
      </c>
      <c r="H12" s="15" t="n">
        <v>0</v>
      </c>
      <c r="I12" s="13" t="inlineStr">
        <is>
          <t>99.000đ/tháng x 12 tháng</t>
        </is>
      </c>
      <c r="J12" s="12" t="inlineStr">
        <is>
          <t>Chưa test</t>
        </is>
      </c>
    </row>
    <row r="13" ht="42" customHeight="1">
      <c r="A13" s="12" t="n">
        <v>2</v>
      </c>
      <c r="B13" s="13" t="inlineStr">
        <is>
          <t>Chuyển dữ liệu WordPress</t>
        </is>
      </c>
      <c r="C13" s="13" t="inlineStr">
        <is>
          <t>wp_migration</t>
        </is>
      </c>
      <c r="D13" s="13" t="n">
        <v>5</v>
      </c>
      <c r="E13" s="15" t="n">
        <v>500000</v>
      </c>
      <c r="F13" s="16">
        <f>D13*E13</f>
        <v/>
      </c>
      <c r="G13" s="15" t="n">
        <v>188000</v>
      </c>
      <c r="H13" s="15" t="n">
        <v>0</v>
      </c>
      <c r="I13" s="13" t="inlineStr">
        <is>
          <t>Chuyển 5 website</t>
        </is>
      </c>
      <c r="J13" s="12" t="inlineStr">
        <is>
          <t>Chưa test</t>
        </is>
      </c>
    </row>
    <row r="14" ht="42" customHeight="1">
      <c r="A14" s="12" t="n">
        <v>3</v>
      </c>
      <c r="B14" s="13" t="inlineStr">
        <is>
          <t>SSL</t>
        </is>
      </c>
      <c r="C14" s="13" t="inlineStr">
        <is>
          <t>ssl_free</t>
        </is>
      </c>
      <c r="D14" s="13" t="n">
        <v>1</v>
      </c>
      <c r="E14" s="15" t="n">
        <v>0</v>
      </c>
      <c r="F14" s="16">
        <f>D14*E14</f>
        <v/>
      </c>
      <c r="G14" s="15" t="n">
        <v>0</v>
      </c>
      <c r="H14" s="15" t="n">
        <v>0</v>
      </c>
      <c r="I14" s="13" t="inlineStr">
        <is>
          <t>Miễn phí</t>
        </is>
      </c>
      <c r="J14" s="12" t="inlineStr">
        <is>
          <t>Chưa test</t>
        </is>
      </c>
    </row>
    <row r="15">
      <c r="E15" s="17" t="inlineStr">
        <is>
          <t>Tạm tính</t>
        </is>
      </c>
      <c r="F15" s="18">
        <f>SUM(F12:F14)</f>
        <v/>
      </c>
    </row>
    <row r="16">
      <c r="E16" s="17" t="inlineStr">
        <is>
          <t>Tổng giảm giá</t>
        </is>
      </c>
      <c r="F16" s="18">
        <f>SUM(G12:G14)</f>
        <v/>
      </c>
    </row>
    <row r="17">
      <c r="E17" s="17" t="inlineStr">
        <is>
          <t>Giá trị tính thuế</t>
        </is>
      </c>
      <c r="F17" s="18">
        <f>F15-F16</f>
        <v/>
      </c>
    </row>
    <row r="18">
      <c r="E18" s="17" t="inlineStr">
        <is>
          <t>VAT 10%</t>
        </is>
      </c>
      <c r="F18" s="18">
        <f>F17*10%</f>
        <v/>
      </c>
    </row>
    <row r="19">
      <c r="E19" s="17" t="inlineStr">
        <is>
          <t>Tổng thanh toán</t>
        </is>
      </c>
      <c r="F19" s="18">
        <f>F17+F18</f>
        <v/>
      </c>
    </row>
    <row r="20"/>
    <row r="21"/>
    <row r="22" ht="22" customHeight="1">
      <c r="A22" s="19" t="inlineStr">
        <is>
          <t>C. THANH TOÁN VÀ CHUYỂN CUSTOMER</t>
        </is>
      </c>
    </row>
    <row r="23" ht="30" customHeight="1">
      <c r="A23" s="11" t="inlineStr">
        <is>
          <t>Bước</t>
        </is>
      </c>
      <c r="B23" s="11" t="inlineStr">
        <is>
          <t>Thao tác</t>
        </is>
      </c>
      <c r="C23" s="11" t="inlineStr">
        <is>
          <t>Giá trị</t>
        </is>
      </c>
      <c r="D23" s="11" t="inlineStr">
        <is>
          <t>Ngày</t>
        </is>
      </c>
      <c r="E23" s="11" t="inlineStr">
        <is>
          <t>Opportunity</t>
        </is>
      </c>
      <c r="F23" s="11" t="inlineStr">
        <is>
          <t>Quotation</t>
        </is>
      </c>
      <c r="G23" s="11" t="inlineStr">
        <is>
          <t>Customer</t>
        </is>
      </c>
      <c r="H23" s="11" t="inlineStr">
        <is>
          <t>Đối soát bắt buộc</t>
        </is>
      </c>
      <c r="I23" s="11" t="inlineStr">
        <is>
          <t>Kết quả mong muốn</t>
        </is>
      </c>
      <c r="J23" s="11" t="inlineStr">
        <is>
          <t>Trạng thái</t>
        </is>
      </c>
    </row>
    <row r="24" ht="42" customHeight="1">
      <c r="A24" s="12" t="inlineStr">
        <is>
          <t>1</t>
        </is>
      </c>
      <c r="B24" s="13" t="inlineStr">
        <is>
          <t>Gửi báo giá</t>
        </is>
      </c>
      <c r="C24" s="13" t="inlineStr">
        <is>
          <t>Người nhận là email Bộ A</t>
        </is>
      </c>
      <c r="D24" s="14">
        <f>'00_HUONG_DAN'!$C$8+5</f>
        <v/>
      </c>
      <c r="E24" s="12" t="inlineStr">
        <is>
          <t>Giữ negotiation</t>
        </is>
      </c>
      <c r="F24" s="12" t="inlineStr">
        <is>
          <t>Sent</t>
        </is>
      </c>
      <c r="G24" s="12" t="inlineStr">
        <is>
          <t>Chưa có</t>
        </is>
      </c>
      <c r="H24" s="12" t="inlineStr">
        <is>
          <t>Có email log và PDF; snapshot không đổi khi Contact sửa</t>
        </is>
      </c>
      <c r="I24" s="12" t="inlineStr">
        <is>
          <t>Khách nhận đúng báo giá và public link hoạt động</t>
        </is>
      </c>
      <c r="J24" s="12" t="inlineStr">
        <is>
          <t>Chưa test</t>
        </is>
      </c>
    </row>
    <row r="25" ht="42" customHeight="1">
      <c r="A25" s="12" t="inlineStr">
        <is>
          <t>2</t>
        </is>
      </c>
      <c r="B25" s="13" t="inlineStr">
        <is>
          <t>Khách chấp nhận báo giá</t>
        </is>
      </c>
      <c r="C25" s="13" t="inlineStr">
        <is>
          <t>Accepted</t>
        </is>
      </c>
      <c r="D25" s="14">
        <f>'00_HUONG_DAN'!$C$8+7</f>
        <v/>
      </c>
      <c r="E25" s="12" t="inlineStr">
        <is>
          <t>Giữ negotiation</t>
        </is>
      </c>
      <c r="F25" s="12" t="inlineStr">
        <is>
          <t>Accepted</t>
        </is>
      </c>
      <c r="G25" s="12" t="inlineStr">
        <is>
          <t>Chưa có</t>
        </is>
      </c>
      <c r="H25" s="12" t="inlineStr">
        <is>
          <t>Không tự tạo Customer trước thanh toán</t>
        </is>
      </c>
      <c r="I25" s="12" t="inlineStr">
        <is>
          <t>accepted_at được ghi</t>
        </is>
      </c>
      <c r="J25" s="12" t="inlineStr">
        <is>
          <t>Chưa test</t>
        </is>
      </c>
    </row>
    <row r="26" ht="42" customHeight="1">
      <c r="A26" s="12" t="inlineStr">
        <is>
          <t>3</t>
        </is>
      </c>
      <c r="B26" s="13" t="inlineStr">
        <is>
          <t>Xác nhận thanh toán</t>
        </is>
      </c>
      <c r="C26" s="13">
        <f>'00_HUONG_DAN'!$C$6&amp;"-PAY-001"</f>
        <v/>
      </c>
      <c r="D26" s="14">
        <f>'00_HUONG_DAN'!$C$8+8</f>
        <v/>
      </c>
      <c r="E26" s="12" t="inlineStr">
        <is>
          <t>Won</t>
        </is>
      </c>
      <c r="F26" s="12" t="inlineStr">
        <is>
          <t>Paid</t>
        </is>
      </c>
      <c r="G26" s="12" t="inlineStr">
        <is>
          <t>Được tạo/chuyển đổi</t>
        </is>
      </c>
      <c r="H26" s="12" t="inlineStr">
        <is>
          <t>Tổng doanh thu = Tổng thanh toán; người xác minh được ghi</t>
        </is>
      </c>
      <c r="I26" s="12" t="inlineStr">
        <is>
          <t>Opportunity Won chỉ sau khi payment=Paid; tạo đúng Customer</t>
        </is>
      </c>
      <c r="J26" s="12" t="inlineStr">
        <is>
          <t>Chưa test</t>
        </is>
      </c>
    </row>
  </sheetData>
  <mergeCells count="4">
    <mergeCell ref="A22:J22"/>
    <mergeCell ref="A1:J1"/>
    <mergeCell ref="A3:J3"/>
    <mergeCell ref="A10:J10"/>
  </mergeCells>
  <conditionalFormatting sqref="J5:J26">
    <cfRule type="expression" priority="1" dxfId="0">
      <formula>J5="Đạt"</formula>
    </cfRule>
    <cfRule type="expression" priority="2" dxfId="1">
      <formula>J5="Không đạt"</formula>
    </cfRule>
  </conditionalFormatting>
  <conditionalFormatting sqref="J12:J26">
    <cfRule type="expression" priority="3" dxfId="0">
      <formula>J12="Đạt"</formula>
    </cfRule>
    <cfRule type="expression" priority="4" dxfId="1">
      <formula>J12="Không đạt"</formula>
    </cfRule>
  </conditionalFormatting>
  <conditionalFormatting sqref="J24:J26">
    <cfRule type="expression" priority="5" dxfId="0">
      <formula>J24="Đạt"</formula>
    </cfRule>
    <cfRule type="expression" priority="6" dxfId="1">
      <formula>J24="Không đạt"</formula>
    </cfRule>
  </conditionalFormatting>
  <dataValidations count="3">
    <dataValidation sqref="J5:J7" showDropDown="0" showInputMessage="0" showErrorMessage="0" allowBlank="1" type="list">
      <formula1>"Chưa test,Đạt,Không đạt,Không áp dụng"</formula1>
    </dataValidation>
    <dataValidation sqref="J12:J14" showDropDown="0" showInputMessage="0" showErrorMessage="0" allowBlank="1" type="list">
      <formula1>"Chưa test,Đạt,Không đạt,Không áp dụng"</formula1>
    </dataValidation>
    <dataValidation sqref="J24:J26" showDropDown="0" showInputMessage="0" showErrorMessage="0" allowBlank="1" type="list">
      <formula1>"Chưa test,Đạt,Không đạt,Không áp dụng"</formula1>
    </dataValidation>
  </dataValidations>
  <pageMargins left="0.3" right="0.3" top="0.45" bottom="0.45" header="0.2" footer="0.2"/>
  <pageSetup orientation="landscape" fitToHeight="0" fitToWidth="1"/>
  <headerFooter>
    <oddHeader/>
    <oddFooter>&amp;CDTH Business Core - UI Test Data Master&amp;RTrang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28" customWidth="1" min="3" max="3"/>
    <col width="26" customWidth="1" min="4" max="4"/>
    <col width="26" customWidth="1" min="5" max="5"/>
    <col width="46" customWidth="1" min="6" max="6"/>
    <col width="46" customWidth="1" min="7" max="7"/>
    <col width="16" customWidth="1" min="8" max="8"/>
  </cols>
  <sheetData>
    <row r="1" ht="28" customHeight="1">
      <c r="A1" s="1" t="inlineStr">
        <is>
          <t>ĐỐI SOÁT DỮ LIỆU LIÊN MODULE</t>
        </is>
      </c>
    </row>
    <row r="2"/>
    <row r="3" ht="30" customHeight="1">
      <c r="A3" s="11" t="inlineStr">
        <is>
          <t>STT</t>
        </is>
      </c>
      <c r="B3" s="11" t="inlineStr">
        <is>
          <t>Mốc kiểm tra</t>
        </is>
      </c>
      <c r="C3" s="11" t="inlineStr">
        <is>
          <t>Thực thể</t>
        </is>
      </c>
      <c r="D3" s="11" t="inlineStr">
        <is>
          <t>Số lượng kỳ vọng</t>
        </is>
      </c>
      <c r="E3" s="11" t="inlineStr">
        <is>
          <t>Khóa đối chiếu</t>
        </is>
      </c>
      <c r="F3" s="11" t="inlineStr">
        <is>
          <t>Dữ liệu phải khớp</t>
        </is>
      </c>
      <c r="G3" s="11" t="inlineStr">
        <is>
          <t>Lỗi nghiêm trọng</t>
        </is>
      </c>
      <c r="H3" s="11" t="inlineStr">
        <is>
          <t>Trạng thái</t>
        </is>
      </c>
    </row>
    <row r="4" ht="42" customHeight="1">
      <c r="A4" s="12" t="n">
        <v>1</v>
      </c>
      <c r="B4" s="12" t="inlineStr">
        <is>
          <t>Sau khi gửi A</t>
        </is>
      </c>
      <c r="C4" s="12" t="inlineStr">
        <is>
          <t>Submission / Contact / Company / Lead / Qualification</t>
        </is>
      </c>
      <c r="D4" s="12" t="inlineStr">
        <is>
          <t>1 / 1 / 1 / 1 / 1</t>
        </is>
      </c>
      <c r="E4" s="12" t="inlineStr">
        <is>
          <t>Email A, MST 9999999999</t>
        </is>
      </c>
      <c r="F4" s="12" t="inlineStr">
        <is>
          <t>Dịch vụ hosting_pro; 5 website; ngân sách 5.000.000</t>
        </is>
      </c>
      <c r="G4" s="12" t="inlineStr">
        <is>
          <t>Lead thiếu dịch vụ, Company trùng MST, form_answers không hiển thị</t>
        </is>
      </c>
      <c r="H4" s="12" t="n"/>
    </row>
    <row r="5" ht="42" customHeight="1">
      <c r="A5" s="12" t="n">
        <v>2</v>
      </c>
      <c r="B5" s="12" t="inlineStr">
        <is>
          <t>Sau khi gửi B</t>
        </is>
      </c>
      <c r="C5" s="12" t="inlineStr">
        <is>
          <t>Submission / Contact / Company / Lead</t>
        </is>
      </c>
      <c r="D5" s="12" t="inlineStr">
        <is>
          <t>1 / 1 / 0 / 1</t>
        </is>
      </c>
      <c r="E5" s="12" t="inlineStr">
        <is>
          <t>Email B, SĐT 0900001002</t>
        </is>
      </c>
      <c r="F5" s="12" t="inlineStr">
        <is>
          <t>Lead cá nhân đủ dữ liệu</t>
        </is>
      </c>
      <c r="G5" s="12" t="inlineStr">
        <is>
          <t>Tạo Company cho cá nhân</t>
        </is>
      </c>
      <c r="H5" s="12" t="n"/>
    </row>
    <row r="6" ht="42" customHeight="1">
      <c r="A6" s="12" t="n">
        <v>3</v>
      </c>
      <c r="B6" s="12" t="inlineStr">
        <is>
          <t>Sau khi gửi C</t>
        </is>
      </c>
      <c r="C6" s="12" t="inlineStr">
        <is>
          <t>Company / Contact / Lead</t>
        </is>
      </c>
      <c r="D6" s="12" t="inlineStr">
        <is>
          <t>1 Company / 2 Contact / 2 Lead B2B</t>
        </is>
      </c>
      <c r="E6" s="12" t="inlineStr">
        <is>
          <t>Cùng MST</t>
        </is>
      </c>
      <c r="F6" s="12" t="inlineStr">
        <is>
          <t>Hai Lead có snapshot khác nhau</t>
        </is>
      </c>
      <c r="G6" s="12" t="inlineStr">
        <is>
          <t>Tạo Company thứ hai hoặc ghi đè nhu cầu A</t>
        </is>
      </c>
      <c r="H6" s="12" t="n"/>
    </row>
    <row r="7" ht="42" customHeight="1">
      <c r="A7" s="12" t="n">
        <v>4</v>
      </c>
      <c r="B7" s="12" t="inlineStr">
        <is>
          <t>Sau phân phối A+C</t>
        </is>
      </c>
      <c r="C7" s="12" t="inlineStr">
        <is>
          <t>Lead / Company Account Owner</t>
        </is>
      </c>
      <c r="D7" s="12" t="inlineStr">
        <is>
          <t>2 Lead cùng owner</t>
        </is>
      </c>
      <c r="E7" s="12" t="inlineStr">
        <is>
          <t>company_id</t>
        </is>
      </c>
      <c r="F7" s="12" t="inlineStr">
        <is>
          <t>assigned_staff_id của A và C nhất quán</t>
        </is>
      </c>
      <c r="G7" s="12" t="inlineStr">
        <is>
          <t>Hai nhân viên phụ trách cùng Company</t>
        </is>
      </c>
      <c r="H7" s="12" t="n"/>
    </row>
    <row r="8" ht="42" customHeight="1">
      <c r="A8" s="12" t="n">
        <v>5</v>
      </c>
      <c r="B8" s="12" t="inlineStr">
        <is>
          <t>Sau Qualification A</t>
        </is>
      </c>
      <c r="C8" s="12" t="inlineStr">
        <is>
          <t>Lead / Qualification / Activity</t>
        </is>
      </c>
      <c r="D8" s="12" t="inlineStr">
        <is>
          <t>1 Lead / 1 Qualification / nhiều Activity</t>
        </is>
      </c>
      <c r="E8" s="12" t="inlineStr">
        <is>
          <t>lead_id</t>
        </is>
      </c>
      <c r="F8" s="12" t="inlineStr">
        <is>
          <t>Trạng thái, score, follow-up, ghi chú đúng lịch sử</t>
        </is>
      </c>
      <c r="G8" s="12" t="inlineStr">
        <is>
          <t>Sửa trạng thái làm mất note cũ</t>
        </is>
      </c>
      <c r="H8" s="12" t="n"/>
    </row>
    <row r="9" ht="42" customHeight="1">
      <c r="A9" s="12" t="n">
        <v>6</v>
      </c>
      <c r="B9" s="12" t="inlineStr">
        <is>
          <t>Sau tạo Opportunity</t>
        </is>
      </c>
      <c r="C9" s="12" t="inlineStr">
        <is>
          <t>Lead / Opportunity</t>
        </is>
      </c>
      <c r="D9" s="12" t="inlineStr">
        <is>
          <t>1 Lead → 1 Opportunity</t>
        </is>
      </c>
      <c r="E9" s="12" t="inlineStr">
        <is>
          <t>lead_id unique</t>
        </is>
      </c>
      <c r="F9" s="12" t="inlineStr">
        <is>
          <t>Company, Contact, Owner, dịch vụ kế thừa</t>
        </is>
      </c>
      <c r="G9" s="12" t="inlineStr">
        <is>
          <t>Một Lead tạo hai Opportunity</t>
        </is>
      </c>
      <c r="H9" s="12" t="n"/>
    </row>
    <row r="10" ht="42" customHeight="1">
      <c r="A10" s="12" t="n">
        <v>7</v>
      </c>
      <c r="B10" s="12" t="inlineStr">
        <is>
          <t>Sau báo giá</t>
        </is>
      </c>
      <c r="C10" s="12" t="inlineStr">
        <is>
          <t>Opportunity / Quotation / Items</t>
        </is>
      </c>
      <c r="D10" s="12" t="inlineStr">
        <is>
          <t>1 Opportunity / 1 Quotation / 3 Items</t>
        </is>
      </c>
      <c r="E10" s="12" t="inlineStr">
        <is>
          <t>opportunity_id</t>
        </is>
      </c>
      <c r="F10" s="12" t="inlineStr">
        <is>
          <t>Tổng thanh toán 3.850.000 VND</t>
        </is>
      </c>
      <c r="G10" s="12" t="inlineStr">
        <is>
          <t>Sai tiền, sai VAT, snapshot sai khách</t>
        </is>
      </c>
      <c r="H10" s="12" t="n"/>
    </row>
    <row r="11" ht="42" customHeight="1">
      <c r="A11" s="12" t="n">
        <v>8</v>
      </c>
      <c r="B11" s="12" t="inlineStr">
        <is>
          <t>Sau thanh toán</t>
        </is>
      </c>
      <c r="C11" s="12" t="inlineStr">
        <is>
          <t>Quotation / Opportunity / Customer</t>
        </is>
      </c>
      <c r="D11" s="12" t="inlineStr">
        <is>
          <t>Paid / Won / 1 Customer</t>
        </is>
      </c>
      <c r="E11" s="12" t="inlineStr">
        <is>
          <t>opportunity_id + contact/company</t>
        </is>
      </c>
      <c r="F11" s="12" t="inlineStr">
        <is>
          <t>Doanh thu 3.850.000; converted_from_opportunity đúng</t>
        </is>
      </c>
      <c r="G11" s="12" t="inlineStr">
        <is>
          <t>Customer tạo trước Paid hoặc tạo trùng</t>
        </is>
      </c>
      <c r="H11" s="12" t="n"/>
    </row>
  </sheetData>
  <mergeCells count="1">
    <mergeCell ref="A1:H1"/>
  </mergeCells>
  <conditionalFormatting sqref="H4:H11">
    <cfRule type="expression" priority="1" dxfId="0">
      <formula>H4="Đạt"</formula>
    </cfRule>
    <cfRule type="expression" priority="2" dxfId="1">
      <formula>H4="Không đạt"</formula>
    </cfRule>
  </conditionalFormatting>
  <dataValidations count="1">
    <dataValidation sqref="H4:H11" showDropDown="0" showInputMessage="0" showErrorMessage="0" allowBlank="1" type="list">
      <formula1>"Chưa test,Đạt,Không đạt,Không áp dụng"</formula1>
    </dataValidation>
  </dataValidations>
  <pageMargins left="0.3" right="0.3" top="0.45" bottom="0.45" header="0.2" footer="0.2"/>
  <pageSetup orientation="landscape" fitToHeight="0" fitToWidth="1"/>
  <headerFooter>
    <oddHeader/>
    <oddFooter>&amp;CDTH Business Core - UI Test Data Master&amp;RTrang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1" customWidth="1" min="2" max="2"/>
    <col width="105" customWidth="1" min="3" max="3"/>
  </cols>
  <sheetData>
    <row r="1" ht="28" customHeight="1">
      <c r="A1" s="1" t="inlineStr">
        <is>
          <t>XÓA DỮ LIỆU TEST CŨ AN TOÀN</t>
        </is>
      </c>
    </row>
    <row r="2"/>
    <row r="3" ht="30" customHeight="1">
      <c r="A3" s="11" t="inlineStr">
        <is>
          <t>Bước</t>
        </is>
      </c>
      <c r="B3" s="11" t="inlineStr">
        <is>
          <t>Mục đích</t>
        </is>
      </c>
      <c r="C3" s="11" t="inlineStr">
        <is>
          <t>Lệnh Git Bash</t>
        </is>
      </c>
    </row>
    <row r="4" ht="42" customHeight="1">
      <c r="A4" s="12" t="inlineStr">
        <is>
          <t>1</t>
        </is>
      </c>
      <c r="B4" s="12" t="inlineStr">
        <is>
          <t>Đặt file command vào đúng source</t>
        </is>
      </c>
      <c r="C4" s="13" t="inlineStr">
        <is>
          <t>Giải nén DTH-ui-test-reset-overlay.zip tại thư mục marketing-email-laravel-v12</t>
        </is>
      </c>
    </row>
    <row r="5" ht="42" customHeight="1">
      <c r="A5" s="12" t="inlineStr">
        <is>
          <t>2</t>
        </is>
      </c>
      <c r="B5" s="12" t="inlineStr">
        <is>
          <t>Xóa cache để Artisan nhận command</t>
        </is>
      </c>
      <c r="C5" s="13" t="inlineStr">
        <is>
          <t>php artisan optimize:clear</t>
        </is>
      </c>
    </row>
    <row r="6" ht="42" customHeight="1">
      <c r="A6" s="12" t="inlineStr">
        <is>
          <t>3</t>
        </is>
      </c>
      <c r="B6" s="12" t="inlineStr">
        <is>
          <t>Xem trước phạm vi ba Lead cũ</t>
        </is>
      </c>
      <c r="C6" s="13" t="inlineStr">
        <is>
          <t>php artisan crm:reset-ui-test-data --dry-run</t>
        </is>
      </c>
    </row>
    <row r="7" ht="42" customHeight="1">
      <c r="A7" s="12" t="inlineStr">
        <is>
          <t>4</t>
        </is>
      </c>
      <c r="B7" s="12" t="inlineStr">
        <is>
          <t>Xóa thật và reset sequence nếu toàn bộ bảng nghiệp vụ đã trống</t>
        </is>
      </c>
      <c r="C7" s="13" t="inlineStr">
        <is>
          <t>php artisan crm:reset-ui-test-data --force --reset-sequences</t>
        </is>
      </c>
    </row>
    <row r="8" ht="42" customHeight="1">
      <c r="A8" s="12" t="inlineStr">
        <is>
          <t>5</t>
        </is>
      </c>
      <c r="B8" s="12" t="inlineStr">
        <is>
          <t>Kiểm tra sau xóa</t>
        </is>
      </c>
      <c r="C8" s="13" t="inlineStr">
        <is>
          <t>php artisan crm:reset-ui-test-data --dry-run</t>
        </is>
      </c>
    </row>
    <row r="9" ht="42" customHeight="1">
      <c r="A9" s="12" t="inlineStr">
        <is>
          <t>6</t>
        </is>
      </c>
      <c r="B9" s="12" t="inlineStr">
        <is>
          <t>Xóa theo Mã đợt test trong workbook</t>
        </is>
      </c>
      <c r="C9" s="13" t="inlineStr">
        <is>
          <t>php artisan crm:reset-ui-test-data --batch=UITEST-HOSTING-01 --dry-run</t>
        </is>
      </c>
    </row>
    <row r="10" ht="42" customHeight="1">
      <c r="A10" s="12" t="inlineStr">
        <is>
          <t>7</t>
        </is>
      </c>
      <c r="B10" s="12" t="inlineStr">
        <is>
          <t>Xóa một nhóm email tùy chỉnh</t>
        </is>
      </c>
      <c r="C10" s="13" t="inlineStr">
        <is>
          <t>php artisan crm:reset-ui-test-data --dry-run --email="email1" --email="email2" --tax-code="9999999999"</t>
        </is>
      </c>
    </row>
    <row r="11"/>
    <row r="12" ht="22" customHeight="1">
      <c r="A12" s="20" t="inlineStr">
        <is>
          <t>DỮ LIỆU MẶC ĐỊNH COMMAND NHẬN DIỆN</t>
        </is>
      </c>
    </row>
    <row r="13">
      <c r="B13" s="21" t="inlineStr">
        <is>
          <t>Email 1</t>
        </is>
      </c>
      <c r="C13" s="22" t="inlineStr">
        <is>
          <t>lead.hosting.b2b.001@example.com</t>
        </is>
      </c>
    </row>
    <row r="14">
      <c r="B14" s="21" t="inlineStr">
        <is>
          <t>Email 2</t>
        </is>
      </c>
      <c r="C14" s="22" t="inlineStr">
        <is>
          <t>lead.hosting.personal.001@example.com</t>
        </is>
      </c>
    </row>
    <row r="15">
      <c r="B15" s="21" t="inlineStr">
        <is>
          <t>Email 3</t>
        </is>
      </c>
      <c r="C15" s="22" t="inlineStr">
        <is>
          <t>lead.hosting.b2b.002@example.com</t>
        </is>
      </c>
    </row>
    <row r="16">
      <c r="B16" s="21" t="inlineStr">
        <is>
          <t>MST</t>
        </is>
      </c>
      <c r="C16" s="22" t="inlineStr">
        <is>
          <t>9999999999</t>
        </is>
      </c>
    </row>
    <row r="17"/>
    <row r="18" ht="22" customHeight="1">
      <c r="A18" s="23" t="inlineStr">
        <is>
          <t>CẢNH BÁO</t>
        </is>
      </c>
    </row>
    <row r="19">
      <c r="B19" s="24" t="inlineStr">
        <is>
          <t>Không chạy trên production. Command tự chặn APP_ENV=production, nhưng vẫn phải kiểm tra đúng database trước khi dùng.</t>
        </is>
      </c>
    </row>
    <row r="20"/>
  </sheetData>
  <mergeCells count="4">
    <mergeCell ref="A1:C1"/>
    <mergeCell ref="A18:C18"/>
    <mergeCell ref="A12:C12"/>
    <mergeCell ref="B19:C20"/>
  </mergeCells>
  <pageMargins left="0.3" right="0.3" top="0.45" bottom="0.45" header="0.2" footer="0.2"/>
  <pageSetup orientation="portrait" fitToHeight="0" fitToWidth="1"/>
  <headerFooter>
    <oddHeader/>
    <oddFooter>&amp;CDTH Business Core - UI Test Data Master&amp;RTrang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2026-08-06T17:01:01Z</dcterms:created>
  <dcterms:modified xmlns:dcterms="http://purl.org/dc/terms/" xmlns:xsi="http://www.w3.org/2001/XMLSchema-instance" xsi:type="dcterms:W3CDTF">2026-08-06T17:01:02Z</dcterms:modified>
</cp:coreProperties>
</file>